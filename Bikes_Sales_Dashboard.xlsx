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shm\Desktop\Bikes_Sales_Excel_Dashboard\"/>
    </mc:Choice>
  </mc:AlternateContent>
  <xr:revisionPtr revIDLastSave="0" documentId="8_{8ACAB874-D2C6-437B-A22B-43CC4596E4D7}" xr6:coauthVersionLast="47" xr6:coauthVersionMax="47" xr10:uidLastSave="{00000000-0000-0000-0000-000000000000}"/>
  <bookViews>
    <workbookView xWindow="20370" yWindow="-120" windowWidth="29040" windowHeight="15840" activeTab="1" xr2:uid="{00000000-000D-0000-FFFF-FFFF00000000}"/>
  </bookViews>
  <sheets>
    <sheet name="bike_buyers" sheetId="1" r:id="rId1"/>
    <sheet name="Dashboard" sheetId="2" r:id="rId2"/>
    <sheet name="Working Sheet" sheetId="3" r:id="rId3"/>
    <sheet name="Pivot Table" sheetId="4" r:id="rId4"/>
  </sheets>
  <definedNames>
    <definedName name="_xlnm._FilterDatabase" localSheetId="0"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8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 i="3" l="1"/>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 r="L3" i="3"/>
  <c r="L4"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<sst xmlns="http://schemas.openxmlformats.org/spreadsheetml/2006/main" count="16274" uniqueCount="51">
  <si>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</si>
  <si>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</si>
  <si>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</si>
  <si>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</si>
  <si>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</si>
  <si>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</si>
  <si>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</si>
  <si>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</si>
  <si>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</si>
  <si>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</si>
  <si>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</si>
  <si>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</si>
  <si>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</si>
  <si>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</si>
  <si>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</si>
  <si>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</si>
  <si>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</si>
  <si>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</si>
  <si>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</si>
  <si>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</si>
  <si>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</si>
  <si>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</si>
  <si>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</si>
  <si>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</si>
  <si>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</si>
  <si>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</si>
  <si>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</si>
  <si>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</si>
  <si>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</si>
  <si>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</si>
  <si>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</si>
  <si>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</si>
  <si>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</si>
  <si>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</si>
  <si>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</si>
  <si>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</si>
  <si>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</si>
  <si>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</si>
  <si>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</si>
  <si>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</si>
  <si>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</si>
  <si>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</si>
  <si>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</si>
  <si>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</si>
  <si>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</si>
  <si>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</si>
  <si>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Middle Age</t>
  </si>
  <si>
    <t>Old</t>
  </si>
  <si>
    <t>Adolescent</t>
  </si>
  <si>
    <t>More than 10 Miles</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</si>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</sst>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r>
              <a:rPr lang="en-GB" baseline="0"/>
              <a:t> </a:t>
            </a:r>
            <a:endParaRPr lang="en-GB"/>
          </a:p>
        </c:rich>
      </c:tx>
      <c:layout>
        <c:manualLayout>
          <c:xMode val="edge"/>
          <c:yMode val="edge"/>
          <c:x val="0.2528818897637795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FA7F-40DF-A6C4-12E56E4016E4}"/>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FA7F-40DF-A6C4-12E56E4016E4}"/>
            </c:ext>
          </c:extLst>
        </c:ser>
        <c:dLbls>
          <c:showLegendKey val="0"/>
          <c:showVal val="0"/>
          <c:showCatName val="0"/>
          <c:showSerName val="0"/>
          <c:showPercent val="0"/>
          <c:showBubbleSize val="0"/>
        </c:dLbls>
        <c:gapWidth val="219"/>
        <c:overlap val="-27"/>
        <c:axId val="1414114447"/>
        <c:axId val="1414109647"/>
      </c:barChart>
      <c:catAx>
        <c:axId val="141411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09647"/>
        <c:crosses val="autoZero"/>
        <c:auto val="1"/>
        <c:lblAlgn val="ctr"/>
        <c:lblOffset val="100"/>
        <c:noMultiLvlLbl val="0"/>
      </c:catAx>
      <c:valAx>
        <c:axId val="1414109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14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61758216477922"/>
          <c:y val="0.12860892388451445"/>
          <c:w val="0.65493783396597349"/>
          <c:h val="0.6320847474745020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A28-47A0-86D3-C0694CC7C7C4}"/>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A28-47A0-86D3-C0694CC7C7C4}"/>
            </c:ext>
          </c:extLst>
        </c:ser>
        <c:dLbls>
          <c:showLegendKey val="0"/>
          <c:showVal val="0"/>
          <c:showCatName val="0"/>
          <c:showSerName val="0"/>
          <c:showPercent val="0"/>
          <c:showBubbleSize val="0"/>
        </c:dLbls>
        <c:marker val="1"/>
        <c:smooth val="0"/>
        <c:axId val="1281829295"/>
        <c:axId val="1281829775"/>
      </c:lineChart>
      <c:catAx>
        <c:axId val="1281829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29775"/>
        <c:crosses val="autoZero"/>
        <c:auto val="1"/>
        <c:lblAlgn val="ctr"/>
        <c:lblOffset val="100"/>
        <c:noMultiLvlLbl val="0"/>
      </c:catAx>
      <c:valAx>
        <c:axId val="128182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7390966754155727"/>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712744240303297"/>
          <c:w val="0.6735301837270341"/>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63F-4F64-AD11-71DC119C1794}"/>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63F-4F64-AD11-71DC119C1794}"/>
            </c:ext>
          </c:extLst>
        </c:ser>
        <c:dLbls>
          <c:showLegendKey val="0"/>
          <c:showVal val="0"/>
          <c:showCatName val="0"/>
          <c:showSerName val="0"/>
          <c:showPercent val="0"/>
          <c:showBubbleSize val="0"/>
        </c:dLbls>
        <c:marker val="1"/>
        <c:smooth val="0"/>
        <c:axId val="1618894031"/>
        <c:axId val="1618916591"/>
      </c:lineChart>
      <c:catAx>
        <c:axId val="161889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916591"/>
        <c:crosses val="autoZero"/>
        <c:auto val="1"/>
        <c:lblAlgn val="ctr"/>
        <c:lblOffset val="100"/>
        <c:noMultiLvlLbl val="0"/>
      </c:catAx>
      <c:valAx>
        <c:axId val="161891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8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r>
              <a:rPr lang="en-GB" baseline="0"/>
              <a:t> </a:t>
            </a:r>
            <a:endParaRPr lang="en-GB"/>
          </a:p>
        </c:rich>
      </c:tx>
      <c:layout>
        <c:manualLayout>
          <c:xMode val="edge"/>
          <c:yMode val="edge"/>
          <c:x val="0.2528818897637795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482B-4907-A017-287FD6403DA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482B-4907-A017-287FD6403DA6}"/>
            </c:ext>
          </c:extLst>
        </c:ser>
        <c:dLbls>
          <c:showLegendKey val="0"/>
          <c:showVal val="0"/>
          <c:showCatName val="0"/>
          <c:showSerName val="0"/>
          <c:showPercent val="0"/>
          <c:showBubbleSize val="0"/>
        </c:dLbls>
        <c:gapWidth val="219"/>
        <c:overlap val="-27"/>
        <c:axId val="1414114447"/>
        <c:axId val="1414109647"/>
      </c:barChart>
      <c:catAx>
        <c:axId val="141411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09647"/>
        <c:crosses val="autoZero"/>
        <c:auto val="1"/>
        <c:lblAlgn val="ctr"/>
        <c:lblOffset val="100"/>
        <c:noMultiLvlLbl val="0"/>
      </c:catAx>
      <c:valAx>
        <c:axId val="1414109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14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61758216477922"/>
          <c:y val="0.12860892388451445"/>
          <c:w val="0.65493783396597349"/>
          <c:h val="0.6320847474745020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16-43F5-B4CE-C230CACBFC39}"/>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16-43F5-B4CE-C230CACBFC39}"/>
            </c:ext>
          </c:extLst>
        </c:ser>
        <c:dLbls>
          <c:showLegendKey val="0"/>
          <c:showVal val="0"/>
          <c:showCatName val="0"/>
          <c:showSerName val="0"/>
          <c:showPercent val="0"/>
          <c:showBubbleSize val="0"/>
        </c:dLbls>
        <c:marker val="1"/>
        <c:smooth val="0"/>
        <c:axId val="1281829295"/>
        <c:axId val="1281829775"/>
      </c:lineChart>
      <c:catAx>
        <c:axId val="1281829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29775"/>
        <c:crosses val="autoZero"/>
        <c:auto val="1"/>
        <c:lblAlgn val="ctr"/>
        <c:lblOffset val="100"/>
        <c:noMultiLvlLbl val="0"/>
      </c:catAx>
      <c:valAx>
        <c:axId val="128182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7390966754155727"/>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712744240303297"/>
          <c:w val="0.6735301837270341"/>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E99-4EAB-9BD0-AA2E15DA497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E99-4EAB-9BD0-AA2E15DA497B}"/>
            </c:ext>
          </c:extLst>
        </c:ser>
        <c:dLbls>
          <c:showLegendKey val="0"/>
          <c:showVal val="0"/>
          <c:showCatName val="0"/>
          <c:showSerName val="0"/>
          <c:showPercent val="0"/>
          <c:showBubbleSize val="0"/>
        </c:dLbls>
        <c:marker val="1"/>
        <c:smooth val="0"/>
        <c:axId val="1618894031"/>
        <c:axId val="1618916591"/>
      </c:lineChart>
      <c:catAx>
        <c:axId val="161889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916591"/>
        <c:crosses val="autoZero"/>
        <c:auto val="1"/>
        <c:lblAlgn val="ctr"/>
        <c:lblOffset val="100"/>
        <c:noMultiLvlLbl val="0"/>
      </c:catAx>
      <c:valAx>
        <c:axId val="161891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8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Table!PivotTable4</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none"/>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42B-4D64-BAE9-E25A59D18A4B}"/>
            </c:ext>
          </c:extLst>
        </c:ser>
        <c:ser>
          <c:idx val="1"/>
          <c:order val="1"/>
          <c:tx>
            <c:strRef>
              <c:f>'Pivot Table'!$C$52:$C$53</c:f>
              <c:strCache>
                <c:ptCount val="1"/>
                <c:pt idx="0">
                  <c:v>Yes</c:v>
                </c:pt>
              </c:strCache>
            </c:strRef>
          </c:tx>
          <c:spPr>
            <a:ln w="28575" cap="rnd">
              <a:solidFill>
                <a:schemeClr val="accent2"/>
              </a:solidFill>
              <a:round/>
            </a:ln>
            <a:effectLst/>
          </c:spPr>
          <c:marker>
            <c:symbol val="none"/>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42B-4D64-BAE9-E25A59D18A4B}"/>
            </c:ext>
          </c:extLst>
        </c:ser>
        <c:dLbls>
          <c:showLegendKey val="0"/>
          <c:showVal val="0"/>
          <c:showCatName val="0"/>
          <c:showSerName val="0"/>
          <c:showPercent val="0"/>
          <c:showBubbleSize val="0"/>
        </c:dLbls>
        <c:smooth val="0"/>
        <c:axId val="1618912751"/>
        <c:axId val="1618886831"/>
      </c:lineChart>
      <c:catAx>
        <c:axId val="161891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886831"/>
        <c:crosses val="autoZero"/>
        <c:auto val="1"/>
        <c:lblAlgn val="ctr"/>
        <c:lblOffset val="100"/>
        <c:noMultiLvlLbl val="0"/>
      </c:catAx>
      <c:valAx>
        <c:axId val="161888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91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308556</xdr:colOff>
      <xdr:row>4</xdr:row>
      <xdr:rowOff>22135</xdr:rowOff>
    </xdr:from>
    <xdr:to>
      <xdr:col>8</xdr:col>
      <xdr:colOff>556743</xdr:colOff>
      <xdr:row>18</xdr:row>
      <xdr:rowOff>95652</xdr:rowOff>
    </xdr:to>
    <xdr:graphicFrame macro="">
      <xdr:nvGraphicFramePr>
        <xdr:cNvPr id="2" name="Chart 1">
          <a:extLst>
            <a:ext uri="{FF2B5EF4-FFF2-40B4-BE49-F238E27FC236}">
              <a16:creationId xmlns:a16="http://schemas.microsoft.com/office/drawing/2014/main" id="{3DBE67DE-F73A-413D-ABC6-2089911AC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301848</xdr:colOff>
      <xdr:row>18</xdr:row>
      <xdr:rowOff>154278</xdr:rowOff>
    </xdr:from>
    <xdr:to>
      <xdr:col>15</xdr:col>
      <xdr:colOff>6708</xdr:colOff>
      <xdr:row>34</xdr:row>
      <xdr:rowOff>167694</xdr:rowOff>
    </xdr:to>
    <xdr:graphicFrame macro="">
      <xdr:nvGraphicFramePr>
        <xdr:cNvPr id="3" name="Chart 2">
          <a:extLst>
            <a:ext uri="{FF2B5EF4-FFF2-40B4-BE49-F238E27FC236}">
              <a16:creationId xmlns:a16="http://schemas.microsoft.com/office/drawing/2014/main" id="{0B203D35-4B29-4650-AE2A-416136471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26830</xdr:colOff>
      <xdr:row>4</xdr:row>
      <xdr:rowOff>13415</xdr:rowOff>
    </xdr:from>
    <xdr:to>
      <xdr:col>15</xdr:col>
      <xdr:colOff>13413</xdr:colOff>
      <xdr:row>18</xdr:row>
      <xdr:rowOff>100616</xdr:rowOff>
    </xdr:to>
    <xdr:graphicFrame macro="">
      <xdr:nvGraphicFramePr>
        <xdr:cNvPr id="4" name="Chart 3">
          <a:extLst>
            <a:ext uri="{FF2B5EF4-FFF2-40B4-BE49-F238E27FC236}">
              <a16:creationId xmlns:a16="http://schemas.microsoft.com/office/drawing/2014/main" id="{F1B9B827-5D1F-4292-A0E4-53D3F923E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26004</xdr:rowOff>
    </xdr:from>
    <xdr:to>
      <xdr:col>2</xdr:col>
      <xdr:colOff>246152</xdr:colOff>
      <xdr:row>11</xdr:row>
      <xdr:rowOff>171236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7FD5CE4-3590-2669-4C92-5019AAD4859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28673"/>
              <a:ext cx="1466208" cy="14937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53511</xdr:rowOff>
    </xdr:from>
    <xdr:to>
      <xdr:col>2</xdr:col>
      <xdr:colOff>235450</xdr:colOff>
      <xdr:row>21</xdr:row>
      <xdr:rowOff>74916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C52B1BB-48E5-1AD0-93F5-63EF8F3E20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97303"/>
              <a:ext cx="1455506" cy="17551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149831</xdr:rowOff>
    </xdr:from>
    <xdr:to>
      <xdr:col>2</xdr:col>
      <xdr:colOff>240051</xdr:colOff>
      <xdr:row>34</xdr:row>
      <xdr:rowOff>149830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E4CB4C5-E1EF-53E6-04CF-7428808A2FF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227387"/>
              <a:ext cx="1460107" cy="2504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238125</xdr:colOff>
      <xdr:row>1</xdr:row>
      <xdr:rowOff>14287</xdr:rowOff>
    </xdr:from>
    <xdr:to>
      <xdr:col>11</xdr:col>
      <xdr:colOff>542925</xdr:colOff>
      <xdr:row>15</xdr:row>
      <xdr:rowOff>90487</xdr:rowOff>
    </xdr:to>
    <xdr:graphicFrame macro="">
      <xdr:nvGraphicFramePr>
        <xdr:cNvPr id="2" name="Chart 1">
          <a:extLst>
            <a:ext uri="{FF2B5EF4-FFF2-40B4-BE49-F238E27FC236}">
              <a16:creationId xmlns:a16="http://schemas.microsoft.com/office/drawing/2014/main" id="{7C4D08A3-9AB5-93C9-A6A4-976D328FD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17</xdr:row>
      <xdr:rowOff>80961</xdr:rowOff>
    </xdr:from>
    <xdr:to>
      <xdr:col>12</xdr:col>
      <xdr:colOff>85725</xdr:colOff>
      <xdr:row>32</xdr:row>
      <xdr:rowOff>104774</xdr:rowOff>
    </xdr:to>
    <xdr:graphicFrame macro="">
      <xdr:nvGraphicFramePr>
        <xdr:cNvPr id="3" name="Chart 2">
          <a:extLst>
            <a:ext uri="{FF2B5EF4-FFF2-40B4-BE49-F238E27FC236}">
              <a16:creationId xmlns:a16="http://schemas.microsoft.com/office/drawing/2014/main" id="{125E0FC9-5B1E-5ECA-30DF-B8F0B4A61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34</xdr:row>
      <xdr:rowOff>138112</xdr:rowOff>
    </xdr:from>
    <xdr:to>
      <xdr:col>12</xdr:col>
      <xdr:colOff>28575</xdr:colOff>
      <xdr:row>49</xdr:row>
      <xdr:rowOff>23812</xdr:rowOff>
    </xdr:to>
    <xdr:graphicFrame macro="">
      <xdr:nvGraphicFramePr>
        <xdr:cNvPr id="4" name="Chart 3">
          <a:extLst>
            <a:ext uri="{FF2B5EF4-FFF2-40B4-BE49-F238E27FC236}">
              <a16:creationId xmlns:a16="http://schemas.microsoft.com/office/drawing/2014/main" id="{7823262D-FD89-3D6B-AD06-C5A767051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485775</xdr:colOff>
      <xdr:row>51</xdr:row>
      <xdr:rowOff>23811</xdr:rowOff>
    </xdr:from>
    <xdr:to>
      <xdr:col>14</xdr:col>
      <xdr:colOff>9525</xdr:colOff>
      <xdr:row>67</xdr:row>
      <xdr:rowOff>47624</xdr:rowOff>
    </xdr:to>
    <xdr:graphicFrame macro="">
      <xdr:nvGraphicFramePr>
        <xdr:cNvPr id="5" name="Chart 4">
          <a:extLst>
            <a:ext uri="{FF2B5EF4-FFF2-40B4-BE49-F238E27FC236}">
              <a16:creationId xmlns:a16="http://schemas.microsoft.com/office/drawing/2014/main" id="{028569F9-F18B-BF6E-AFDA-406F06371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Havanur" refreshedDate="46195.62331678241" createdVersion="8" refreshedVersion="8" minRefreshableVersion="3" recordCount="1000" xr:uid="{F49EADC7-4E25-4FAE-ACE0-15800F13B0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10 Miles" u="1"/>
        <s v="10+ Miles" u="1"/>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887239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0"/>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0"/>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0"/>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0"/>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0"/>
    <x v="10"/>
    <x v="1"/>
  </r>
  <r>
    <n v="12212"/>
    <x v="0"/>
    <x v="0"/>
    <n v="10000"/>
    <n v="0"/>
    <x v="4"/>
    <s v="Manual"/>
    <s v="Yes"/>
    <n v="0"/>
    <x v="0"/>
    <x v="0"/>
    <x v="0"/>
    <x v="34"/>
    <x v="1"/>
  </r>
  <r>
    <n v="25529"/>
    <x v="1"/>
    <x v="1"/>
    <n v="10000"/>
    <n v="1"/>
    <x v="4"/>
    <s v="Manual"/>
    <s v="Yes"/>
    <n v="0"/>
    <x v="0"/>
    <x v="0"/>
    <x v="0"/>
    <x v="20"/>
    <x v="0"/>
  </r>
  <r>
    <n v="22170"/>
    <x v="0"/>
    <x v="0"/>
    <n v="30000"/>
    <n v="3"/>
    <x v="1"/>
    <s v="Clerical"/>
    <s v="No"/>
    <n v="2"/>
    <x v="3"/>
    <x v="1"/>
    <x v="0"/>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0"/>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0"/>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0"/>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0"/>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0"/>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0"/>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0"/>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0"/>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0"/>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0"/>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0"/>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0"/>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1E02F-DAC7-4229-A3D9-5A36F589475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m="1" x="5"/>
        <item x="0"/>
        <item n="10 Miles+" m="1" x="6"/>
        <item x="3"/>
        <item x="1"/>
        <item x="2"/>
        <item x="4"/>
        <item t="default"/>
      </items>
    </pivotField>
    <pivotField showAll="0">
      <items count="4">
        <item x="0"/>
        <item x="2"/>
        <item x="1"/>
        <item t="default"/>
      </items>
    </pivotField>
    <pivotField showAll="0">
      <items count="4">
        <item x="2"/>
        <item x="0"/>
        <item x="1"/>
        <item t="default"/>
      </items>
    </pivotField>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34240-B123-46E1-AAD6-8289DAC1C57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15B02-DF96-4F7F-ACF1-11D9DFE22A4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D10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6CDB1-223A-4B53-B8A4-09554E14F05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18D5EB9-09F1-476F-A2BE-C627D405C4DB}" sourceName="Marital Status">
  <pivotTables>
    <pivotTable tabId="4" name="PivotTable1"/>
    <pivotTable tabId="4" name="PivotTable2"/>
    <pivotTable tabId="4" name="PivotTable3"/>
    <pivotTable tabId="4" name="PivotTable4"/>
  </pivotTables>
  <data>
    <tabular pivotCacheId="18872398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E5575A-EC8A-4D75-A628-CA292487CD8E}" sourceName="Region">
  <pivotTables>
    <pivotTable tabId="4" name="PivotTable1"/>
    <pivotTable tabId="4" name="PivotTable2"/>
    <pivotTable tabId="4" name="PivotTable3"/>
    <pivotTable tabId="4" name="PivotTable4"/>
  </pivotTables>
  <data>
    <tabular pivotCacheId="188723981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B80F184-06B4-45BD-9B27-E9DADC55F79B}" sourceName="Education">
  <pivotTables>
    <pivotTable tabId="4" name="PivotTable1"/>
    <pivotTable tabId="4" name="PivotTable2"/>
    <pivotTable tabId="4" name="PivotTable3"/>
    <pivotTable tabId="4" name="PivotTable4"/>
  </pivotTables>
  <data>
    <tabular pivotCacheId="188723981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C8D5E9-6548-469F-8D6D-C2A6E5C4AC09}" cache="Slicer_Marital_Status" caption="Marital Status" rowHeight="241300"/>
  <slicer name="Region" xr10:uid="{BE52ADD4-BF69-47BF-88F3-BDF7EF90819E}" cache="Slicer_Region" caption="Region" rowHeight="241300"/>
  <slicer name="Education" xr10:uid="{E876AB9D-D4EE-4622-94EA-2596FC9EB5CE}"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23" sqref="O2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8B45-7208-42D5-9411-BF5C8F6E3288}">
  <dimension ref="A1:O4"/>
  <sheetViews>
    <sheetView showGridLines="0" tabSelected="1" zoomScale="89" zoomScaleNormal="89" workbookViewId="0">
      <selection activeCell="T20" sqref="T20"/>
    </sheetView>
  </sheetViews>
  <sheetFormatPr defaultRowHeight="15" x14ac:dyDescent="0.25"/>
  <sheetData>
    <row r="1" spans="1:15" ht="17.25" customHeight="1" x14ac:dyDescent="0.25">
      <c r="A1" s="8"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7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50753-B078-4D5C-AD71-14E783443A20}">
  <dimension ref="A1:N1001"/>
  <sheetViews>
    <sheetView workbookViewId="0">
      <selection activeCell="L5" sqref="L5"/>
    </sheetView>
  </sheetViews>
  <sheetFormatPr defaultColWidth="11.85546875" defaultRowHeight="15" x14ac:dyDescent="0.25"/>
  <cols>
    <col min="1" max="1" width="7" customWidth="1"/>
    <col min="2" max="2" width="25.5703125" bestFit="1" customWidth="1"/>
    <col min="4" max="4" width="12.28515625" style="3" bestFit="1" customWidth="1"/>
    <col min="6" max="6" width="17.7109375" bestFit="1" customWidth="1"/>
    <col min="7" max="7" width="14.140625" bestFit="1" customWidth="1"/>
    <col min="8" max="8" width="15" bestFit="1" customWidth="1"/>
    <col min="9" max="9" width="8.7109375" customWidth="1"/>
    <col min="10" max="10" width="20.28515625" bestFit="1" customWidth="1"/>
    <col min="12" max="12" width="14.5703125" bestFit="1" customWidth="1"/>
    <col min="13" max="13" width="7.5703125"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40</v>
      </c>
      <c r="M1" t="s">
        <v>11</v>
      </c>
      <c r="N1" t="s">
        <v>12</v>
      </c>
    </row>
    <row r="2" spans="1:14" x14ac:dyDescent="0.25">
      <c r="A2">
        <v>12496</v>
      </c>
      <c r="B2" t="s">
        <v>36</v>
      </c>
      <c r="C2" t="s">
        <v>39</v>
      </c>
      <c r="D2" s="3">
        <v>40000</v>
      </c>
      <c r="E2">
        <v>1</v>
      </c>
      <c r="F2" t="s">
        <v>13</v>
      </c>
      <c r="G2" t="s">
        <v>14</v>
      </c>
      <c r="H2" t="s">
        <v>15</v>
      </c>
      <c r="I2">
        <v>0</v>
      </c>
      <c r="J2" t="s">
        <v>16</v>
      </c>
      <c r="K2" t="s">
        <v>17</v>
      </c>
      <c r="L2" t="str">
        <f>IF(M2&gt;55,"Old",IF(M2&gt;=31,"Middle Age",IF(M2&lt;31,"Adolescent","Invalid")))</f>
        <v>Middle Age</v>
      </c>
      <c r="M2">
        <v>42</v>
      </c>
      <c r="N2" t="s">
        <v>18</v>
      </c>
    </row>
    <row r="3" spans="1:14" x14ac:dyDescent="0.25">
      <c r="A3">
        <v>24107</v>
      </c>
      <c r="B3" t="s">
        <v>36</v>
      </c>
      <c r="C3" t="s">
        <v>38</v>
      </c>
      <c r="D3" s="3">
        <v>30000</v>
      </c>
      <c r="E3">
        <v>3</v>
      </c>
      <c r="F3" t="s">
        <v>19</v>
      </c>
      <c r="G3" t="s">
        <v>20</v>
      </c>
      <c r="H3" t="s">
        <v>15</v>
      </c>
      <c r="I3">
        <v>1</v>
      </c>
      <c r="J3" t="s">
        <v>16</v>
      </c>
      <c r="K3" t="s">
        <v>17</v>
      </c>
      <c r="L3" t="str">
        <f>IF(M3&gt;55,"Old",IF(M3&gt;=31,"Middle Age",IF(M3&lt;31,"Adolescent","Invalid")))</f>
        <v>Middle Age</v>
      </c>
      <c r="M3">
        <v>43</v>
      </c>
      <c r="N3" t="s">
        <v>18</v>
      </c>
    </row>
    <row r="4" spans="1:14" x14ac:dyDescent="0.25">
      <c r="A4">
        <v>14177</v>
      </c>
      <c r="B4" t="s">
        <v>36</v>
      </c>
      <c r="C4" t="s">
        <v>38</v>
      </c>
      <c r="D4" s="3">
        <v>80000</v>
      </c>
      <c r="E4">
        <v>5</v>
      </c>
      <c r="F4" t="s">
        <v>19</v>
      </c>
      <c r="G4" t="s">
        <v>21</v>
      </c>
      <c r="H4" t="s">
        <v>18</v>
      </c>
      <c r="I4">
        <v>2</v>
      </c>
      <c r="J4" t="s">
        <v>22</v>
      </c>
      <c r="K4" t="s">
        <v>17</v>
      </c>
      <c r="L4" t="str">
        <f t="shared" ref="L4:L67" si="0">IF(M4&gt;55,"Old",IF(M4&gt;=31,"Middle Age",IF(M4&lt;31,"Adolescent","Invalid")))</f>
        <v>Old</v>
      </c>
      <c r="M4">
        <v>60</v>
      </c>
      <c r="N4" t="s">
        <v>18</v>
      </c>
    </row>
    <row r="5" spans="1:14" x14ac:dyDescent="0.25">
      <c r="A5">
        <v>24381</v>
      </c>
      <c r="B5" t="s">
        <v>37</v>
      </c>
      <c r="C5" t="s">
        <v>38</v>
      </c>
      <c r="D5" s="3">
        <v>70000</v>
      </c>
      <c r="E5">
        <v>0</v>
      </c>
      <c r="F5" t="s">
        <v>13</v>
      </c>
      <c r="G5" t="s">
        <v>21</v>
      </c>
      <c r="H5" t="s">
        <v>15</v>
      </c>
      <c r="I5">
        <v>1</v>
      </c>
      <c r="J5" t="s">
        <v>23</v>
      </c>
      <c r="K5" t="s">
        <v>24</v>
      </c>
      <c r="L5" t="str">
        <f>IF(M5&gt;55,"Old",IF(M5&gt;=31,"Middle Age",IF(M5&lt;31,"Adolescent","Invalid")))</f>
        <v>Middle Age</v>
      </c>
      <c r="M5">
        <v>41</v>
      </c>
      <c r="N5" t="s">
        <v>15</v>
      </c>
    </row>
    <row r="6" spans="1:14" x14ac:dyDescent="0.25">
      <c r="A6">
        <v>25597</v>
      </c>
      <c r="B6" t="s">
        <v>37</v>
      </c>
      <c r="C6" t="s">
        <v>38</v>
      </c>
      <c r="D6" s="3">
        <v>30000</v>
      </c>
      <c r="E6">
        <v>0</v>
      </c>
      <c r="F6" t="s">
        <v>13</v>
      </c>
      <c r="G6" t="s">
        <v>20</v>
      </c>
      <c r="H6" t="s">
        <v>18</v>
      </c>
      <c r="I6">
        <v>0</v>
      </c>
      <c r="J6" t="s">
        <v>16</v>
      </c>
      <c r="K6" t="s">
        <v>17</v>
      </c>
      <c r="L6" t="str">
        <f t="shared" si="0"/>
        <v>Middle Age</v>
      </c>
      <c r="M6">
        <v>36</v>
      </c>
      <c r="N6" t="s">
        <v>15</v>
      </c>
    </row>
    <row r="7" spans="1:14" x14ac:dyDescent="0.25">
      <c r="A7">
        <v>13507</v>
      </c>
      <c r="B7" t="s">
        <v>36</v>
      </c>
      <c r="C7" t="s">
        <v>39</v>
      </c>
      <c r="D7" s="3">
        <v>10000</v>
      </c>
      <c r="E7">
        <v>2</v>
      </c>
      <c r="F7" t="s">
        <v>19</v>
      </c>
      <c r="G7" t="s">
        <v>25</v>
      </c>
      <c r="H7" t="s">
        <v>15</v>
      </c>
      <c r="I7">
        <v>0</v>
      </c>
      <c r="J7" t="s">
        <v>26</v>
      </c>
      <c r="K7" t="s">
        <v>17</v>
      </c>
      <c r="L7" t="str">
        <f t="shared" si="0"/>
        <v>Middle Age</v>
      </c>
      <c r="M7">
        <v>50</v>
      </c>
      <c r="N7" t="s">
        <v>18</v>
      </c>
    </row>
    <row r="8" spans="1:14" x14ac:dyDescent="0.25">
      <c r="A8">
        <v>27974</v>
      </c>
      <c r="B8" t="s">
        <v>37</v>
      </c>
      <c r="C8" t="s">
        <v>38</v>
      </c>
      <c r="D8" s="3">
        <v>160000</v>
      </c>
      <c r="E8">
        <v>2</v>
      </c>
      <c r="F8" t="s">
        <v>27</v>
      </c>
      <c r="G8" t="s">
        <v>28</v>
      </c>
      <c r="H8" t="s">
        <v>15</v>
      </c>
      <c r="I8">
        <v>4</v>
      </c>
      <c r="J8" t="s">
        <v>16</v>
      </c>
      <c r="K8" t="s">
        <v>24</v>
      </c>
      <c r="L8" t="str">
        <f t="shared" si="0"/>
        <v>Middle Age</v>
      </c>
      <c r="M8">
        <v>33</v>
      </c>
      <c r="N8" t="s">
        <v>15</v>
      </c>
    </row>
    <row r="9" spans="1:14" x14ac:dyDescent="0.25">
      <c r="A9">
        <v>19364</v>
      </c>
      <c r="B9" t="s">
        <v>36</v>
      </c>
      <c r="C9" t="s">
        <v>38</v>
      </c>
      <c r="D9" s="3">
        <v>40000</v>
      </c>
      <c r="E9">
        <v>1</v>
      </c>
      <c r="F9" t="s">
        <v>13</v>
      </c>
      <c r="G9" t="s">
        <v>14</v>
      </c>
      <c r="H9" t="s">
        <v>15</v>
      </c>
      <c r="I9">
        <v>0</v>
      </c>
      <c r="J9" t="s">
        <v>16</v>
      </c>
      <c r="K9" t="s">
        <v>17</v>
      </c>
      <c r="L9" t="str">
        <f t="shared" si="0"/>
        <v>Middle Age</v>
      </c>
      <c r="M9">
        <v>43</v>
      </c>
      <c r="N9" t="s">
        <v>15</v>
      </c>
    </row>
    <row r="10" spans="1:14" x14ac:dyDescent="0.25">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25">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25">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25">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25">
      <c r="A14">
        <v>11434</v>
      </c>
      <c r="B14" t="s">
        <v>36</v>
      </c>
      <c r="C14" t="s">
        <v>38</v>
      </c>
      <c r="D14" s="3">
        <v>170000</v>
      </c>
      <c r="E14">
        <v>5</v>
      </c>
      <c r="F14" t="s">
        <v>19</v>
      </c>
      <c r="G14" t="s">
        <v>21</v>
      </c>
      <c r="H14" t="s">
        <v>15</v>
      </c>
      <c r="I14">
        <v>0</v>
      </c>
      <c r="J14" t="s">
        <v>16</v>
      </c>
      <c r="K14" t="s">
        <v>17</v>
      </c>
      <c r="L14" t="str">
        <f t="shared" si="0"/>
        <v>Middle Age</v>
      </c>
      <c r="M14">
        <v>55</v>
      </c>
      <c r="N14" t="s">
        <v>18</v>
      </c>
    </row>
    <row r="15" spans="1:14" x14ac:dyDescent="0.25">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25">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25">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25">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2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25">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25">
      <c r="A21">
        <v>25940</v>
      </c>
      <c r="B21" t="s">
        <v>37</v>
      </c>
      <c r="C21" t="s">
        <v>38</v>
      </c>
      <c r="D21" s="3">
        <v>20000</v>
      </c>
      <c r="E21">
        <v>2</v>
      </c>
      <c r="F21" t="s">
        <v>29</v>
      </c>
      <c r="G21" t="s">
        <v>20</v>
      </c>
      <c r="H21" t="s">
        <v>15</v>
      </c>
      <c r="I21">
        <v>2</v>
      </c>
      <c r="J21" t="s">
        <v>23</v>
      </c>
      <c r="K21" t="s">
        <v>24</v>
      </c>
      <c r="L21" t="str">
        <f t="shared" si="0"/>
        <v>Middle Age</v>
      </c>
      <c r="M21">
        <v>55</v>
      </c>
      <c r="N21" t="s">
        <v>15</v>
      </c>
    </row>
    <row r="22" spans="1:14" x14ac:dyDescent="0.2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25">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25">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2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25">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25">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25">
      <c r="A28">
        <v>17841</v>
      </c>
      <c r="B28" t="s">
        <v>37</v>
      </c>
      <c r="C28" t="s">
        <v>38</v>
      </c>
      <c r="D28" s="3">
        <v>30000</v>
      </c>
      <c r="E28">
        <v>0</v>
      </c>
      <c r="F28" t="s">
        <v>19</v>
      </c>
      <c r="G28" t="s">
        <v>20</v>
      </c>
      <c r="H28" t="s">
        <v>18</v>
      </c>
      <c r="I28">
        <v>1</v>
      </c>
      <c r="J28" t="s">
        <v>16</v>
      </c>
      <c r="K28" t="s">
        <v>17</v>
      </c>
      <c r="L28" t="str">
        <f t="shared" si="0"/>
        <v>Adolescent</v>
      </c>
      <c r="M28">
        <v>29</v>
      </c>
      <c r="N28" t="s">
        <v>15</v>
      </c>
    </row>
    <row r="29" spans="1:14" x14ac:dyDescent="0.25">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25">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25">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25">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25">
      <c r="A33">
        <v>22400</v>
      </c>
      <c r="B33" t="s">
        <v>36</v>
      </c>
      <c r="C33" t="s">
        <v>38</v>
      </c>
      <c r="D33" s="3">
        <v>10000</v>
      </c>
      <c r="E33">
        <v>0</v>
      </c>
      <c r="F33" t="s">
        <v>19</v>
      </c>
      <c r="G33" t="s">
        <v>25</v>
      </c>
      <c r="H33" t="s">
        <v>18</v>
      </c>
      <c r="I33">
        <v>1</v>
      </c>
      <c r="J33" t="s">
        <v>16</v>
      </c>
      <c r="K33" t="s">
        <v>24</v>
      </c>
      <c r="L33" t="str">
        <f t="shared" si="0"/>
        <v>Adolescent</v>
      </c>
      <c r="M33">
        <v>26</v>
      </c>
      <c r="N33" t="s">
        <v>15</v>
      </c>
    </row>
    <row r="34" spans="1:14" x14ac:dyDescent="0.25">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25">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25">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25">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25">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25">
      <c r="A39">
        <v>27832</v>
      </c>
      <c r="B39" t="s">
        <v>37</v>
      </c>
      <c r="C39" t="s">
        <v>39</v>
      </c>
      <c r="D39" s="3">
        <v>30000</v>
      </c>
      <c r="E39">
        <v>0</v>
      </c>
      <c r="F39" t="s">
        <v>19</v>
      </c>
      <c r="G39" t="s">
        <v>20</v>
      </c>
      <c r="H39" t="s">
        <v>18</v>
      </c>
      <c r="I39">
        <v>1</v>
      </c>
      <c r="J39" t="s">
        <v>22</v>
      </c>
      <c r="K39" t="s">
        <v>17</v>
      </c>
      <c r="L39" t="str">
        <f t="shared" si="0"/>
        <v>Adolescent</v>
      </c>
      <c r="M39">
        <v>30</v>
      </c>
      <c r="N39" t="s">
        <v>18</v>
      </c>
    </row>
    <row r="40" spans="1:14" x14ac:dyDescent="0.25">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25">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25">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25">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2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25">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2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2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25">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25">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25">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25">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25">
      <c r="A52">
        <v>13826</v>
      </c>
      <c r="B52" t="s">
        <v>37</v>
      </c>
      <c r="C52" t="s">
        <v>39</v>
      </c>
      <c r="D52" s="3">
        <v>30000</v>
      </c>
      <c r="E52">
        <v>0</v>
      </c>
      <c r="F52" t="s">
        <v>19</v>
      </c>
      <c r="G52" t="s">
        <v>20</v>
      </c>
      <c r="H52" t="s">
        <v>18</v>
      </c>
      <c r="I52">
        <v>1</v>
      </c>
      <c r="J52" t="s">
        <v>16</v>
      </c>
      <c r="K52" t="s">
        <v>17</v>
      </c>
      <c r="L52" t="str">
        <f t="shared" si="0"/>
        <v>Adolescent</v>
      </c>
      <c r="M52">
        <v>28</v>
      </c>
      <c r="N52" t="s">
        <v>18</v>
      </c>
    </row>
    <row r="53" spans="1:14" x14ac:dyDescent="0.25">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2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25">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25">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25">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25">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25">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2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25">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25">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25">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25">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25">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2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25">
      <c r="A67">
        <v>29337</v>
      </c>
      <c r="B67" t="s">
        <v>37</v>
      </c>
      <c r="C67" t="s">
        <v>38</v>
      </c>
      <c r="D67" s="3">
        <v>30000</v>
      </c>
      <c r="E67">
        <v>2</v>
      </c>
      <c r="F67" t="s">
        <v>19</v>
      </c>
      <c r="G67" t="s">
        <v>20</v>
      </c>
      <c r="H67" t="s">
        <v>15</v>
      </c>
      <c r="I67">
        <v>2</v>
      </c>
      <c r="J67" t="s">
        <v>23</v>
      </c>
      <c r="K67" t="s">
        <v>24</v>
      </c>
      <c r="L67" t="str">
        <f t="shared" si="0"/>
        <v>Old</v>
      </c>
      <c r="M67">
        <v>68</v>
      </c>
      <c r="N67" t="s">
        <v>18</v>
      </c>
    </row>
    <row r="68" spans="1:14" x14ac:dyDescent="0.25">
      <c r="A68">
        <v>29355</v>
      </c>
      <c r="B68" t="s">
        <v>36</v>
      </c>
      <c r="C68" t="s">
        <v>39</v>
      </c>
      <c r="D68" s="3">
        <v>40000</v>
      </c>
      <c r="E68">
        <v>0</v>
      </c>
      <c r="F68" t="s">
        <v>31</v>
      </c>
      <c r="G68" t="s">
        <v>20</v>
      </c>
      <c r="H68" t="s">
        <v>15</v>
      </c>
      <c r="I68">
        <v>0</v>
      </c>
      <c r="J68" t="s">
        <v>16</v>
      </c>
      <c r="K68" t="s">
        <v>17</v>
      </c>
      <c r="L68" t="str">
        <f t="shared" ref="L68:L131" si="1">IF(M68&gt;55,"Old",IF(M68&gt;=31,"Middle Age",IF(M68&lt;31,"Adolescent","Invalid")))</f>
        <v>Middle Age</v>
      </c>
      <c r="M68">
        <v>37</v>
      </c>
      <c r="N68" t="s">
        <v>15</v>
      </c>
    </row>
    <row r="69" spans="1:14" x14ac:dyDescent="0.25">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25">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25">
      <c r="A71">
        <v>16438</v>
      </c>
      <c r="B71" t="s">
        <v>36</v>
      </c>
      <c r="C71" t="s">
        <v>39</v>
      </c>
      <c r="D71" s="3">
        <v>10000</v>
      </c>
      <c r="E71">
        <v>0</v>
      </c>
      <c r="F71" t="s">
        <v>29</v>
      </c>
      <c r="G71" t="s">
        <v>25</v>
      </c>
      <c r="H71" t="s">
        <v>18</v>
      </c>
      <c r="I71">
        <v>2</v>
      </c>
      <c r="J71" t="s">
        <v>16</v>
      </c>
      <c r="K71" t="s">
        <v>17</v>
      </c>
      <c r="L71" t="str">
        <f t="shared" si="1"/>
        <v>Adolescent</v>
      </c>
      <c r="M71">
        <v>30</v>
      </c>
      <c r="N71" t="s">
        <v>18</v>
      </c>
    </row>
    <row r="72" spans="1:14" x14ac:dyDescent="0.25">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25">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25">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25">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2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25">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25">
      <c r="A78">
        <v>16188</v>
      </c>
      <c r="B78" t="s">
        <v>37</v>
      </c>
      <c r="C78" t="s">
        <v>39</v>
      </c>
      <c r="D78" s="3">
        <v>20000</v>
      </c>
      <c r="E78">
        <v>0</v>
      </c>
      <c r="F78" t="s">
        <v>29</v>
      </c>
      <c r="G78" t="s">
        <v>25</v>
      </c>
      <c r="H78" t="s">
        <v>18</v>
      </c>
      <c r="I78">
        <v>2</v>
      </c>
      <c r="J78" t="s">
        <v>26</v>
      </c>
      <c r="K78" t="s">
        <v>17</v>
      </c>
      <c r="L78" t="str">
        <f t="shared" si="1"/>
        <v>Adolescent</v>
      </c>
      <c r="M78">
        <v>26</v>
      </c>
      <c r="N78" t="s">
        <v>18</v>
      </c>
    </row>
    <row r="79" spans="1:14" x14ac:dyDescent="0.25">
      <c r="A79">
        <v>27969</v>
      </c>
      <c r="B79" t="s">
        <v>36</v>
      </c>
      <c r="C79" t="s">
        <v>38</v>
      </c>
      <c r="D79" s="3">
        <v>80000</v>
      </c>
      <c r="E79">
        <v>0</v>
      </c>
      <c r="F79" t="s">
        <v>13</v>
      </c>
      <c r="G79" t="s">
        <v>21</v>
      </c>
      <c r="H79" t="s">
        <v>15</v>
      </c>
      <c r="I79">
        <v>2</v>
      </c>
      <c r="J79" t="s">
        <v>49</v>
      </c>
      <c r="K79" t="s">
        <v>24</v>
      </c>
      <c r="L79" t="str">
        <f t="shared" si="1"/>
        <v>Adolescent</v>
      </c>
      <c r="M79">
        <v>29</v>
      </c>
      <c r="N79" t="s">
        <v>15</v>
      </c>
    </row>
    <row r="80" spans="1:14" x14ac:dyDescent="0.25">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25">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2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25">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25">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25">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25">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25">
      <c r="A87">
        <v>16514</v>
      </c>
      <c r="B87" t="s">
        <v>37</v>
      </c>
      <c r="C87" t="s">
        <v>38</v>
      </c>
      <c r="D87" s="3">
        <v>10000</v>
      </c>
      <c r="E87">
        <v>0</v>
      </c>
      <c r="F87" t="s">
        <v>19</v>
      </c>
      <c r="G87" t="s">
        <v>25</v>
      </c>
      <c r="H87" t="s">
        <v>15</v>
      </c>
      <c r="I87">
        <v>1</v>
      </c>
      <c r="J87" t="s">
        <v>26</v>
      </c>
      <c r="K87" t="s">
        <v>24</v>
      </c>
      <c r="L87" t="str">
        <f t="shared" si="1"/>
        <v>Adolescent</v>
      </c>
      <c r="M87">
        <v>26</v>
      </c>
      <c r="N87" t="s">
        <v>15</v>
      </c>
    </row>
    <row r="88" spans="1:14" x14ac:dyDescent="0.25">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25">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25">
      <c r="A90">
        <v>24119</v>
      </c>
      <c r="B90" t="s">
        <v>37</v>
      </c>
      <c r="C90" t="s">
        <v>38</v>
      </c>
      <c r="D90" s="3">
        <v>30000</v>
      </c>
      <c r="E90">
        <v>0</v>
      </c>
      <c r="F90" t="s">
        <v>19</v>
      </c>
      <c r="G90" t="s">
        <v>20</v>
      </c>
      <c r="H90" t="s">
        <v>18</v>
      </c>
      <c r="I90">
        <v>1</v>
      </c>
      <c r="J90" t="s">
        <v>22</v>
      </c>
      <c r="K90" t="s">
        <v>17</v>
      </c>
      <c r="L90" t="str">
        <f t="shared" si="1"/>
        <v>Adolescent</v>
      </c>
      <c r="M90">
        <v>29</v>
      </c>
      <c r="N90" t="s">
        <v>18</v>
      </c>
    </row>
    <row r="91" spans="1:14" x14ac:dyDescent="0.25">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25">
      <c r="A92">
        <v>26886</v>
      </c>
      <c r="B92" t="s">
        <v>37</v>
      </c>
      <c r="C92" t="s">
        <v>39</v>
      </c>
      <c r="D92" s="3">
        <v>30000</v>
      </c>
      <c r="E92">
        <v>0</v>
      </c>
      <c r="F92" t="s">
        <v>19</v>
      </c>
      <c r="G92" t="s">
        <v>20</v>
      </c>
      <c r="H92" t="s">
        <v>18</v>
      </c>
      <c r="I92">
        <v>1</v>
      </c>
      <c r="J92" t="s">
        <v>16</v>
      </c>
      <c r="K92" t="s">
        <v>17</v>
      </c>
      <c r="L92" t="str">
        <f t="shared" si="1"/>
        <v>Adolescent</v>
      </c>
      <c r="M92">
        <v>29</v>
      </c>
      <c r="N92" t="s">
        <v>15</v>
      </c>
    </row>
    <row r="93" spans="1:14" x14ac:dyDescent="0.25">
      <c r="A93">
        <v>28436</v>
      </c>
      <c r="B93" t="s">
        <v>37</v>
      </c>
      <c r="C93" t="s">
        <v>38</v>
      </c>
      <c r="D93" s="3">
        <v>30000</v>
      </c>
      <c r="E93">
        <v>0</v>
      </c>
      <c r="F93" t="s">
        <v>19</v>
      </c>
      <c r="G93" t="s">
        <v>20</v>
      </c>
      <c r="H93" t="s">
        <v>18</v>
      </c>
      <c r="I93">
        <v>1</v>
      </c>
      <c r="J93" t="s">
        <v>16</v>
      </c>
      <c r="K93" t="s">
        <v>17</v>
      </c>
      <c r="L93" t="str">
        <f t="shared" si="1"/>
        <v>Adolescent</v>
      </c>
      <c r="M93">
        <v>30</v>
      </c>
      <c r="N93" t="s">
        <v>15</v>
      </c>
    </row>
    <row r="94" spans="1:14" x14ac:dyDescent="0.25">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25">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25">
      <c r="A96">
        <v>16487</v>
      </c>
      <c r="B96" t="s">
        <v>37</v>
      </c>
      <c r="C96" t="s">
        <v>39</v>
      </c>
      <c r="D96" s="3">
        <v>30000</v>
      </c>
      <c r="E96">
        <v>3</v>
      </c>
      <c r="F96" t="s">
        <v>27</v>
      </c>
      <c r="G96" t="s">
        <v>14</v>
      </c>
      <c r="H96" t="s">
        <v>15</v>
      </c>
      <c r="I96">
        <v>2</v>
      </c>
      <c r="J96" t="s">
        <v>23</v>
      </c>
      <c r="K96" t="s">
        <v>24</v>
      </c>
      <c r="L96" t="str">
        <f t="shared" si="1"/>
        <v>Middle Age</v>
      </c>
      <c r="M96">
        <v>55</v>
      </c>
      <c r="N96" t="s">
        <v>18</v>
      </c>
    </row>
    <row r="97" spans="1:14" x14ac:dyDescent="0.25">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25">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25">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25">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2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25">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25">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37</v>
      </c>
      <c r="C107" t="s">
        <v>39</v>
      </c>
      <c r="D107" s="3">
        <v>30000</v>
      </c>
      <c r="E107">
        <v>0</v>
      </c>
      <c r="F107" t="s">
        <v>19</v>
      </c>
      <c r="G107" t="s">
        <v>20</v>
      </c>
      <c r="H107" t="s">
        <v>18</v>
      </c>
      <c r="I107">
        <v>1</v>
      </c>
      <c r="J107" t="s">
        <v>22</v>
      </c>
      <c r="K107" t="s">
        <v>17</v>
      </c>
      <c r="L107" t="str">
        <f t="shared" si="1"/>
        <v>Adolescent</v>
      </c>
      <c r="M107">
        <v>30</v>
      </c>
      <c r="N107" t="s">
        <v>18</v>
      </c>
    </row>
    <row r="108" spans="1:14" x14ac:dyDescent="0.25">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25">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2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25">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25">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2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37</v>
      </c>
      <c r="C121" t="s">
        <v>39</v>
      </c>
      <c r="D121" s="3">
        <v>30000</v>
      </c>
      <c r="E121">
        <v>0</v>
      </c>
      <c r="F121" t="s">
        <v>19</v>
      </c>
      <c r="G121" t="s">
        <v>20</v>
      </c>
      <c r="H121" t="s">
        <v>18</v>
      </c>
      <c r="I121">
        <v>1</v>
      </c>
      <c r="J121" t="s">
        <v>22</v>
      </c>
      <c r="K121" t="s">
        <v>17</v>
      </c>
      <c r="L121" t="str">
        <f t="shared" si="1"/>
        <v>Adolescent</v>
      </c>
      <c r="M121">
        <v>29</v>
      </c>
      <c r="N121" t="s">
        <v>18</v>
      </c>
    </row>
    <row r="122" spans="1:14" x14ac:dyDescent="0.2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25">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25">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25">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25">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25">
      <c r="A131">
        <v>26818</v>
      </c>
      <c r="B131" t="s">
        <v>37</v>
      </c>
      <c r="C131" t="s">
        <v>38</v>
      </c>
      <c r="D131" s="3">
        <v>10000</v>
      </c>
      <c r="E131">
        <v>3</v>
      </c>
      <c r="F131" t="s">
        <v>27</v>
      </c>
      <c r="G131" t="s">
        <v>25</v>
      </c>
      <c r="H131" t="s">
        <v>15</v>
      </c>
      <c r="I131">
        <v>1</v>
      </c>
      <c r="J131" t="s">
        <v>16</v>
      </c>
      <c r="K131" t="s">
        <v>17</v>
      </c>
      <c r="L131" t="str">
        <f t="shared" si="1"/>
        <v>Middle Age</v>
      </c>
      <c r="M131">
        <v>39</v>
      </c>
      <c r="N131" t="s">
        <v>15</v>
      </c>
    </row>
    <row r="132" spans="1:14" x14ac:dyDescent="0.25">
      <c r="A132">
        <v>12993</v>
      </c>
      <c r="B132" t="s">
        <v>36</v>
      </c>
      <c r="C132" t="s">
        <v>38</v>
      </c>
      <c r="D132" s="3">
        <v>60000</v>
      </c>
      <c r="E132">
        <v>2</v>
      </c>
      <c r="F132" t="s">
        <v>13</v>
      </c>
      <c r="G132" t="s">
        <v>21</v>
      </c>
      <c r="H132" t="s">
        <v>15</v>
      </c>
      <c r="I132">
        <v>1</v>
      </c>
      <c r="J132" t="s">
        <v>22</v>
      </c>
      <c r="K132" t="s">
        <v>24</v>
      </c>
      <c r="L132" t="str">
        <f t="shared" ref="L132:L195" si="2">IF(M132&gt;55,"Old",IF(M132&gt;=31,"Middle Age",IF(M132&lt;31,"Adolescent","Invalid")))</f>
        <v>Middle Age</v>
      </c>
      <c r="M132">
        <v>37</v>
      </c>
      <c r="N132" t="s">
        <v>18</v>
      </c>
    </row>
    <row r="133" spans="1:14" x14ac:dyDescent="0.25">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25">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25">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25">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25">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36</v>
      </c>
      <c r="C140" t="s">
        <v>39</v>
      </c>
      <c r="D140" s="3">
        <v>20000</v>
      </c>
      <c r="E140">
        <v>2</v>
      </c>
      <c r="F140" t="s">
        <v>29</v>
      </c>
      <c r="G140" t="s">
        <v>20</v>
      </c>
      <c r="H140" t="s">
        <v>15</v>
      </c>
      <c r="I140">
        <v>2</v>
      </c>
      <c r="J140" t="s">
        <v>23</v>
      </c>
      <c r="K140" t="s">
        <v>24</v>
      </c>
      <c r="L140" t="str">
        <f t="shared" si="2"/>
        <v>Middle Age</v>
      </c>
      <c r="M140">
        <v>55</v>
      </c>
      <c r="N140" t="s">
        <v>15</v>
      </c>
    </row>
    <row r="141" spans="1:14" x14ac:dyDescent="0.25">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25">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37</v>
      </c>
      <c r="C143" t="s">
        <v>39</v>
      </c>
      <c r="D143" s="3">
        <v>10000</v>
      </c>
      <c r="E143">
        <v>0</v>
      </c>
      <c r="F143" t="s">
        <v>19</v>
      </c>
      <c r="G143" t="s">
        <v>25</v>
      </c>
      <c r="H143" t="s">
        <v>18</v>
      </c>
      <c r="I143">
        <v>1</v>
      </c>
      <c r="J143" t="s">
        <v>16</v>
      </c>
      <c r="K143" t="s">
        <v>24</v>
      </c>
      <c r="L143" t="str">
        <f t="shared" si="2"/>
        <v>Adolescent</v>
      </c>
      <c r="M143">
        <v>26</v>
      </c>
      <c r="N143" t="s">
        <v>15</v>
      </c>
    </row>
    <row r="144" spans="1:14" x14ac:dyDescent="0.25">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25">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25">
      <c r="A151">
        <v>12728</v>
      </c>
      <c r="B151" t="s">
        <v>37</v>
      </c>
      <c r="C151" t="s">
        <v>38</v>
      </c>
      <c r="D151" s="3">
        <v>30000</v>
      </c>
      <c r="E151">
        <v>0</v>
      </c>
      <c r="F151" t="s">
        <v>19</v>
      </c>
      <c r="G151" t="s">
        <v>20</v>
      </c>
      <c r="H151" t="s">
        <v>18</v>
      </c>
      <c r="I151">
        <v>1</v>
      </c>
      <c r="J151" t="s">
        <v>26</v>
      </c>
      <c r="K151" t="s">
        <v>17</v>
      </c>
      <c r="L151" t="str">
        <f t="shared" si="2"/>
        <v>Adolescent</v>
      </c>
      <c r="M151">
        <v>27</v>
      </c>
      <c r="N151" t="s">
        <v>18</v>
      </c>
    </row>
    <row r="152" spans="1:14" x14ac:dyDescent="0.25">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25">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25">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25">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25">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2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2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25">
      <c r="A166">
        <v>22402</v>
      </c>
      <c r="B166" t="s">
        <v>36</v>
      </c>
      <c r="C166" t="s">
        <v>38</v>
      </c>
      <c r="D166" s="3">
        <v>10000</v>
      </c>
      <c r="E166">
        <v>0</v>
      </c>
      <c r="F166" t="s">
        <v>19</v>
      </c>
      <c r="G166" t="s">
        <v>25</v>
      </c>
      <c r="H166" t="s">
        <v>15</v>
      </c>
      <c r="I166">
        <v>1</v>
      </c>
      <c r="J166" t="s">
        <v>22</v>
      </c>
      <c r="K166" t="s">
        <v>24</v>
      </c>
      <c r="L166" t="str">
        <f t="shared" si="2"/>
        <v>Adolescent</v>
      </c>
      <c r="M166">
        <v>25</v>
      </c>
      <c r="N166" t="s">
        <v>15</v>
      </c>
    </row>
    <row r="167" spans="1:14" x14ac:dyDescent="0.25">
      <c r="A167">
        <v>15465</v>
      </c>
      <c r="B167" t="s">
        <v>36</v>
      </c>
      <c r="C167" t="s">
        <v>39</v>
      </c>
      <c r="D167" s="3">
        <v>10000</v>
      </c>
      <c r="E167">
        <v>0</v>
      </c>
      <c r="F167" t="s">
        <v>19</v>
      </c>
      <c r="G167" t="s">
        <v>25</v>
      </c>
      <c r="H167" t="s">
        <v>18</v>
      </c>
      <c r="I167">
        <v>1</v>
      </c>
      <c r="J167" t="s">
        <v>16</v>
      </c>
      <c r="K167" t="s">
        <v>24</v>
      </c>
      <c r="L167" t="str">
        <f t="shared" si="2"/>
        <v>Adolescent</v>
      </c>
      <c r="M167">
        <v>25</v>
      </c>
      <c r="N167" t="s">
        <v>18</v>
      </c>
    </row>
    <row r="168" spans="1:14" x14ac:dyDescent="0.25">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25">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25">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36</v>
      </c>
      <c r="C175" t="s">
        <v>39</v>
      </c>
      <c r="D175" s="3">
        <v>10000</v>
      </c>
      <c r="E175">
        <v>0</v>
      </c>
      <c r="F175" t="s">
        <v>19</v>
      </c>
      <c r="G175" t="s">
        <v>25</v>
      </c>
      <c r="H175" t="s">
        <v>15</v>
      </c>
      <c r="I175">
        <v>1</v>
      </c>
      <c r="J175" t="s">
        <v>22</v>
      </c>
      <c r="K175" t="s">
        <v>24</v>
      </c>
      <c r="L175" t="str">
        <f t="shared" si="2"/>
        <v>Adolescent</v>
      </c>
      <c r="M175">
        <v>27</v>
      </c>
      <c r="N175" t="s">
        <v>18</v>
      </c>
    </row>
    <row r="176" spans="1:14" x14ac:dyDescent="0.25">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25">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37</v>
      </c>
      <c r="C178" t="s">
        <v>39</v>
      </c>
      <c r="D178" s="3">
        <v>20000</v>
      </c>
      <c r="E178">
        <v>0</v>
      </c>
      <c r="F178" t="s">
        <v>19</v>
      </c>
      <c r="G178" t="s">
        <v>25</v>
      </c>
      <c r="H178" t="s">
        <v>15</v>
      </c>
      <c r="I178">
        <v>0</v>
      </c>
      <c r="J178" t="s">
        <v>16</v>
      </c>
      <c r="K178" t="s">
        <v>24</v>
      </c>
      <c r="L178" t="str">
        <f t="shared" si="2"/>
        <v>Adolescent</v>
      </c>
      <c r="M178">
        <v>29</v>
      </c>
      <c r="N178" t="s">
        <v>15</v>
      </c>
    </row>
    <row r="179" spans="1:14" x14ac:dyDescent="0.25">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25">
      <c r="A180">
        <v>14191</v>
      </c>
      <c r="B180" t="s">
        <v>36</v>
      </c>
      <c r="C180" t="s">
        <v>38</v>
      </c>
      <c r="D180" s="3">
        <v>160000</v>
      </c>
      <c r="E180">
        <v>4</v>
      </c>
      <c r="F180" t="s">
        <v>19</v>
      </c>
      <c r="G180" t="s">
        <v>21</v>
      </c>
      <c r="H180" t="s">
        <v>18</v>
      </c>
      <c r="I180">
        <v>2</v>
      </c>
      <c r="J180" t="s">
        <v>49</v>
      </c>
      <c r="K180" t="s">
        <v>17</v>
      </c>
      <c r="L180" t="str">
        <f t="shared" si="2"/>
        <v>Middle Age</v>
      </c>
      <c r="M180">
        <v>55</v>
      </c>
      <c r="N180" t="s">
        <v>15</v>
      </c>
    </row>
    <row r="181" spans="1:14" x14ac:dyDescent="0.2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25">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36</v>
      </c>
      <c r="C183" t="s">
        <v>39</v>
      </c>
      <c r="D183" s="3">
        <v>30000</v>
      </c>
      <c r="E183">
        <v>3</v>
      </c>
      <c r="F183" t="s">
        <v>19</v>
      </c>
      <c r="G183" t="s">
        <v>20</v>
      </c>
      <c r="H183" t="s">
        <v>18</v>
      </c>
      <c r="I183">
        <v>2</v>
      </c>
      <c r="J183" t="s">
        <v>26</v>
      </c>
      <c r="K183" t="s">
        <v>24</v>
      </c>
      <c r="L183" t="str">
        <f t="shared" si="2"/>
        <v>Middle Age</v>
      </c>
      <c r="M183">
        <v>55</v>
      </c>
      <c r="N183" t="s">
        <v>15</v>
      </c>
    </row>
    <row r="184" spans="1:14" x14ac:dyDescent="0.2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25">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25">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2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25">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25">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25">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36</v>
      </c>
      <c r="C192" t="s">
        <v>38</v>
      </c>
      <c r="D192" s="3">
        <v>30000</v>
      </c>
      <c r="E192">
        <v>3</v>
      </c>
      <c r="F192" t="s">
        <v>27</v>
      </c>
      <c r="G192" t="s">
        <v>14</v>
      </c>
      <c r="H192" t="s">
        <v>15</v>
      </c>
      <c r="I192">
        <v>2</v>
      </c>
      <c r="J192" t="s">
        <v>23</v>
      </c>
      <c r="K192" t="s">
        <v>24</v>
      </c>
      <c r="L192" t="str">
        <f t="shared" si="2"/>
        <v>Middle Age</v>
      </c>
      <c r="M192">
        <v>55</v>
      </c>
      <c r="N192" t="s">
        <v>18</v>
      </c>
    </row>
    <row r="193" spans="1:14" x14ac:dyDescent="0.25">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25">
      <c r="A195">
        <v>26032</v>
      </c>
      <c r="B195" t="s">
        <v>36</v>
      </c>
      <c r="C195" t="s">
        <v>39</v>
      </c>
      <c r="D195" s="3">
        <v>70000</v>
      </c>
      <c r="E195">
        <v>5</v>
      </c>
      <c r="F195" t="s">
        <v>13</v>
      </c>
      <c r="G195" t="s">
        <v>21</v>
      </c>
      <c r="H195" t="s">
        <v>15</v>
      </c>
      <c r="I195">
        <v>4</v>
      </c>
      <c r="J195" t="s">
        <v>49</v>
      </c>
      <c r="K195" t="s">
        <v>24</v>
      </c>
      <c r="L195" t="str">
        <f t="shared" si="2"/>
        <v>Middle Age</v>
      </c>
      <c r="M195">
        <v>41</v>
      </c>
      <c r="N195" t="s">
        <v>18</v>
      </c>
    </row>
    <row r="196" spans="1:14" x14ac:dyDescent="0.25">
      <c r="A196">
        <v>17843</v>
      </c>
      <c r="B196" t="s">
        <v>37</v>
      </c>
      <c r="C196" t="s">
        <v>39</v>
      </c>
      <c r="D196" s="3">
        <v>10000</v>
      </c>
      <c r="E196">
        <v>0</v>
      </c>
      <c r="F196" t="s">
        <v>29</v>
      </c>
      <c r="G196" t="s">
        <v>25</v>
      </c>
      <c r="H196" t="s">
        <v>18</v>
      </c>
      <c r="I196">
        <v>2</v>
      </c>
      <c r="J196" t="s">
        <v>16</v>
      </c>
      <c r="K196" t="s">
        <v>17</v>
      </c>
      <c r="L196" t="str">
        <f t="shared" ref="L196:L259" si="3">IF(M196&gt;55,"Old",IF(M196&gt;=31,"Middle Age",IF(M196&lt;31,"Adolescent","Invalid")))</f>
        <v>Middle Age</v>
      </c>
      <c r="M196">
        <v>32</v>
      </c>
      <c r="N196" t="s">
        <v>18</v>
      </c>
    </row>
    <row r="197" spans="1:14" x14ac:dyDescent="0.25">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25">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25">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25">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25">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25">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25">
      <c r="A209">
        <v>28729</v>
      </c>
      <c r="B209" t="s">
        <v>37</v>
      </c>
      <c r="C209" t="s">
        <v>39</v>
      </c>
      <c r="D209" s="3">
        <v>20000</v>
      </c>
      <c r="E209">
        <v>0</v>
      </c>
      <c r="F209" t="s">
        <v>29</v>
      </c>
      <c r="G209" t="s">
        <v>25</v>
      </c>
      <c r="H209" t="s">
        <v>15</v>
      </c>
      <c r="I209">
        <v>2</v>
      </c>
      <c r="J209" t="s">
        <v>26</v>
      </c>
      <c r="K209" t="s">
        <v>17</v>
      </c>
      <c r="L209" t="str">
        <f t="shared" si="3"/>
        <v>Adolescent</v>
      </c>
      <c r="M209">
        <v>26</v>
      </c>
      <c r="N209" t="s">
        <v>15</v>
      </c>
    </row>
    <row r="210" spans="1:14" x14ac:dyDescent="0.25">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25">
      <c r="A214">
        <v>20946</v>
      </c>
      <c r="B214" t="s">
        <v>37</v>
      </c>
      <c r="C214" t="s">
        <v>39</v>
      </c>
      <c r="D214" s="3">
        <v>30000</v>
      </c>
      <c r="E214">
        <v>0</v>
      </c>
      <c r="F214" t="s">
        <v>19</v>
      </c>
      <c r="G214" t="s">
        <v>20</v>
      </c>
      <c r="H214" t="s">
        <v>18</v>
      </c>
      <c r="I214">
        <v>1</v>
      </c>
      <c r="J214" t="s">
        <v>22</v>
      </c>
      <c r="K214" t="s">
        <v>17</v>
      </c>
      <c r="L214" t="str">
        <f t="shared" si="3"/>
        <v>Adolescent</v>
      </c>
      <c r="M214">
        <v>30</v>
      </c>
      <c r="N214" t="s">
        <v>18</v>
      </c>
    </row>
    <row r="215" spans="1:14" x14ac:dyDescent="0.25">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25">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25">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25">
      <c r="A219">
        <v>13673</v>
      </c>
      <c r="B219" t="s">
        <v>37</v>
      </c>
      <c r="C219" t="s">
        <v>39</v>
      </c>
      <c r="D219" s="3">
        <v>20000</v>
      </c>
      <c r="E219">
        <v>0</v>
      </c>
      <c r="F219" t="s">
        <v>29</v>
      </c>
      <c r="G219" t="s">
        <v>25</v>
      </c>
      <c r="H219" t="s">
        <v>18</v>
      </c>
      <c r="I219">
        <v>2</v>
      </c>
      <c r="J219" t="s">
        <v>16</v>
      </c>
      <c r="K219" t="s">
        <v>17</v>
      </c>
      <c r="L219" t="str">
        <f t="shared" si="3"/>
        <v>Adolescent</v>
      </c>
      <c r="M219">
        <v>25</v>
      </c>
      <c r="N219" t="s">
        <v>18</v>
      </c>
    </row>
    <row r="220" spans="1:14" x14ac:dyDescent="0.25">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37</v>
      </c>
      <c r="C221" t="s">
        <v>38</v>
      </c>
      <c r="D221" s="3">
        <v>10000</v>
      </c>
      <c r="E221">
        <v>0</v>
      </c>
      <c r="F221" t="s">
        <v>19</v>
      </c>
      <c r="G221" t="s">
        <v>25</v>
      </c>
      <c r="H221" t="s">
        <v>15</v>
      </c>
      <c r="I221">
        <v>1</v>
      </c>
      <c r="J221" t="s">
        <v>26</v>
      </c>
      <c r="K221" t="s">
        <v>24</v>
      </c>
      <c r="L221" t="str">
        <f t="shared" si="3"/>
        <v>Adolescent</v>
      </c>
      <c r="M221">
        <v>26</v>
      </c>
      <c r="N221" t="s">
        <v>15</v>
      </c>
    </row>
    <row r="222" spans="1:14" x14ac:dyDescent="0.25">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25">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25">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25">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25">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25">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25">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2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25">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2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36</v>
      </c>
      <c r="C239" t="s">
        <v>39</v>
      </c>
      <c r="D239" s="3">
        <v>10000</v>
      </c>
      <c r="E239">
        <v>0</v>
      </c>
      <c r="F239" t="s">
        <v>19</v>
      </c>
      <c r="G239" t="s">
        <v>25</v>
      </c>
      <c r="H239" t="s">
        <v>18</v>
      </c>
      <c r="I239">
        <v>1</v>
      </c>
      <c r="J239" t="s">
        <v>16</v>
      </c>
      <c r="K239" t="s">
        <v>24</v>
      </c>
      <c r="L239" t="str">
        <f t="shared" si="3"/>
        <v>Adolescent</v>
      </c>
      <c r="M239">
        <v>26</v>
      </c>
      <c r="N239" t="s">
        <v>15</v>
      </c>
    </row>
    <row r="240" spans="1:14" x14ac:dyDescent="0.25">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25">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25">
      <c r="A243">
        <v>12503</v>
      </c>
      <c r="B243" t="s">
        <v>37</v>
      </c>
      <c r="C243" t="s">
        <v>39</v>
      </c>
      <c r="D243" s="3">
        <v>30000</v>
      </c>
      <c r="E243">
        <v>3</v>
      </c>
      <c r="F243" t="s">
        <v>19</v>
      </c>
      <c r="G243" t="s">
        <v>20</v>
      </c>
      <c r="H243" t="s">
        <v>15</v>
      </c>
      <c r="I243">
        <v>2</v>
      </c>
      <c r="J243" t="s">
        <v>16</v>
      </c>
      <c r="K243" t="s">
        <v>17</v>
      </c>
      <c r="L243" t="str">
        <f t="shared" si="3"/>
        <v>Adolescent</v>
      </c>
      <c r="M243">
        <v>27</v>
      </c>
      <c r="N243" t="s">
        <v>18</v>
      </c>
    </row>
    <row r="244" spans="1:14" x14ac:dyDescent="0.25">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25">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25">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25">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2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25">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25">
      <c r="A253">
        <v>18172</v>
      </c>
      <c r="B253" t="s">
        <v>36</v>
      </c>
      <c r="C253" t="s">
        <v>38</v>
      </c>
      <c r="D253" s="3">
        <v>130000</v>
      </c>
      <c r="E253">
        <v>4</v>
      </c>
      <c r="F253" t="s">
        <v>27</v>
      </c>
      <c r="G253" t="s">
        <v>21</v>
      </c>
      <c r="H253" t="s">
        <v>15</v>
      </c>
      <c r="I253">
        <v>3</v>
      </c>
      <c r="J253" t="s">
        <v>16</v>
      </c>
      <c r="K253" t="s">
        <v>17</v>
      </c>
      <c r="L253" t="str">
        <f t="shared" si="3"/>
        <v>Middle Age</v>
      </c>
      <c r="M253">
        <v>55</v>
      </c>
      <c r="N253" t="s">
        <v>18</v>
      </c>
    </row>
    <row r="254" spans="1:14" x14ac:dyDescent="0.25">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25">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25">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37</v>
      </c>
      <c r="C259" t="s">
        <v>39</v>
      </c>
      <c r="D259" s="3">
        <v>50000</v>
      </c>
      <c r="E259">
        <v>0</v>
      </c>
      <c r="F259" t="s">
        <v>31</v>
      </c>
      <c r="G259" t="s">
        <v>14</v>
      </c>
      <c r="H259" t="s">
        <v>15</v>
      </c>
      <c r="I259">
        <v>0</v>
      </c>
      <c r="J259" t="s">
        <v>16</v>
      </c>
      <c r="K259" t="s">
        <v>17</v>
      </c>
      <c r="L259" t="str">
        <f t="shared" si="3"/>
        <v>Middle Age</v>
      </c>
      <c r="M259">
        <v>36</v>
      </c>
      <c r="N259" t="s">
        <v>15</v>
      </c>
    </row>
    <row r="260" spans="1:14" x14ac:dyDescent="0.25">
      <c r="A260">
        <v>14193</v>
      </c>
      <c r="B260" t="s">
        <v>37</v>
      </c>
      <c r="C260" t="s">
        <v>39</v>
      </c>
      <c r="D260" s="3">
        <v>100000</v>
      </c>
      <c r="E260">
        <v>3</v>
      </c>
      <c r="F260" t="s">
        <v>19</v>
      </c>
      <c r="G260" t="s">
        <v>28</v>
      </c>
      <c r="H260" t="s">
        <v>15</v>
      </c>
      <c r="I260">
        <v>4</v>
      </c>
      <c r="J260" t="s">
        <v>49</v>
      </c>
      <c r="K260" t="s">
        <v>17</v>
      </c>
      <c r="L260" t="str">
        <f t="shared" ref="L260:L323" si="4">IF(M260&gt;55,"Old",IF(M260&gt;=31,"Middle Age",IF(M260&lt;31,"Adolescent","Invalid")))</f>
        <v>Old</v>
      </c>
      <c r="M260">
        <v>56</v>
      </c>
      <c r="N260" t="s">
        <v>18</v>
      </c>
    </row>
    <row r="261" spans="1:14" x14ac:dyDescent="0.25">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2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25">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25">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25">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2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25">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25">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25">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25">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25">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25">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25">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25">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25">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25">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2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25">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25">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25">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25">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25">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2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37</v>
      </c>
      <c r="C323" t="s">
        <v>39</v>
      </c>
      <c r="D323" s="3">
        <v>160000</v>
      </c>
      <c r="E323">
        <v>0</v>
      </c>
      <c r="F323" t="s">
        <v>31</v>
      </c>
      <c r="G323" t="s">
        <v>28</v>
      </c>
      <c r="H323" t="s">
        <v>18</v>
      </c>
      <c r="I323">
        <v>3</v>
      </c>
      <c r="J323" t="s">
        <v>16</v>
      </c>
      <c r="K323" t="s">
        <v>24</v>
      </c>
      <c r="L323" t="str">
        <f t="shared" si="4"/>
        <v>Middle Age</v>
      </c>
      <c r="M323">
        <v>47</v>
      </c>
      <c r="N323" t="s">
        <v>15</v>
      </c>
    </row>
    <row r="324" spans="1:14" x14ac:dyDescent="0.25">
      <c r="A324">
        <v>16410</v>
      </c>
      <c r="B324" t="s">
        <v>37</v>
      </c>
      <c r="C324" t="s">
        <v>39</v>
      </c>
      <c r="D324" s="3">
        <v>10000</v>
      </c>
      <c r="E324">
        <v>4</v>
      </c>
      <c r="F324" t="s">
        <v>29</v>
      </c>
      <c r="G324" t="s">
        <v>25</v>
      </c>
      <c r="H324" t="s">
        <v>15</v>
      </c>
      <c r="I324">
        <v>2</v>
      </c>
      <c r="J324" t="s">
        <v>16</v>
      </c>
      <c r="K324" t="s">
        <v>17</v>
      </c>
      <c r="L324" t="str">
        <f t="shared" ref="L324:L387" si="5">IF(M324&gt;55,"Old",IF(M324&gt;=31,"Middle Age",IF(M324&lt;31,"Adolescent","Invalid")))</f>
        <v>Middle Age</v>
      </c>
      <c r="M324">
        <v>41</v>
      </c>
      <c r="N324" t="s">
        <v>15</v>
      </c>
    </row>
    <row r="325" spans="1:14" x14ac:dyDescent="0.25">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25">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25">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25">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25">
      <c r="A333">
        <v>19508</v>
      </c>
      <c r="B333" t="s">
        <v>36</v>
      </c>
      <c r="C333" t="s">
        <v>38</v>
      </c>
      <c r="D333" s="3">
        <v>10000</v>
      </c>
      <c r="E333">
        <v>0</v>
      </c>
      <c r="F333" t="s">
        <v>29</v>
      </c>
      <c r="G333" t="s">
        <v>25</v>
      </c>
      <c r="H333" t="s">
        <v>18</v>
      </c>
      <c r="I333">
        <v>2</v>
      </c>
      <c r="J333" t="s">
        <v>16</v>
      </c>
      <c r="K333" t="s">
        <v>17</v>
      </c>
      <c r="L333" t="str">
        <f t="shared" si="5"/>
        <v>Adolescent</v>
      </c>
      <c r="M333">
        <v>30</v>
      </c>
      <c r="N333" t="s">
        <v>18</v>
      </c>
    </row>
    <row r="334" spans="1:14" x14ac:dyDescent="0.25">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25">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25">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25">
      <c r="A342">
        <v>16468</v>
      </c>
      <c r="B342" t="s">
        <v>37</v>
      </c>
      <c r="C342" t="s">
        <v>38</v>
      </c>
      <c r="D342" s="3">
        <v>30000</v>
      </c>
      <c r="E342">
        <v>0</v>
      </c>
      <c r="F342" t="s">
        <v>19</v>
      </c>
      <c r="G342" t="s">
        <v>20</v>
      </c>
      <c r="H342" t="s">
        <v>15</v>
      </c>
      <c r="I342">
        <v>1</v>
      </c>
      <c r="J342" t="s">
        <v>22</v>
      </c>
      <c r="K342" t="s">
        <v>17</v>
      </c>
      <c r="L342" t="str">
        <f t="shared" si="5"/>
        <v>Adolescent</v>
      </c>
      <c r="M342">
        <v>30</v>
      </c>
      <c r="N342" t="s">
        <v>18</v>
      </c>
    </row>
    <row r="343" spans="1:14" x14ac:dyDescent="0.25">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25">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25">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25">
      <c r="A351">
        <v>24121</v>
      </c>
      <c r="B351" t="s">
        <v>37</v>
      </c>
      <c r="C351" t="s">
        <v>39</v>
      </c>
      <c r="D351" s="3">
        <v>30000</v>
      </c>
      <c r="E351">
        <v>0</v>
      </c>
      <c r="F351" t="s">
        <v>19</v>
      </c>
      <c r="G351" t="s">
        <v>20</v>
      </c>
      <c r="H351" t="s">
        <v>18</v>
      </c>
      <c r="I351">
        <v>1</v>
      </c>
      <c r="J351" t="s">
        <v>16</v>
      </c>
      <c r="K351" t="s">
        <v>17</v>
      </c>
      <c r="L351" t="str">
        <f t="shared" si="5"/>
        <v>Adolescent</v>
      </c>
      <c r="M351">
        <v>29</v>
      </c>
      <c r="N351" t="s">
        <v>15</v>
      </c>
    </row>
    <row r="352" spans="1:14" x14ac:dyDescent="0.25">
      <c r="A352">
        <v>27878</v>
      </c>
      <c r="B352" t="s">
        <v>37</v>
      </c>
      <c r="C352" t="s">
        <v>38</v>
      </c>
      <c r="D352" s="3">
        <v>20000</v>
      </c>
      <c r="E352">
        <v>0</v>
      </c>
      <c r="F352" t="s">
        <v>19</v>
      </c>
      <c r="G352" t="s">
        <v>25</v>
      </c>
      <c r="H352" t="s">
        <v>18</v>
      </c>
      <c r="I352">
        <v>0</v>
      </c>
      <c r="J352" t="s">
        <v>16</v>
      </c>
      <c r="K352" t="s">
        <v>24</v>
      </c>
      <c r="L352" t="str">
        <f t="shared" si="5"/>
        <v>Adolescent</v>
      </c>
      <c r="M352">
        <v>28</v>
      </c>
      <c r="N352" t="s">
        <v>15</v>
      </c>
    </row>
    <row r="353" spans="1:14" x14ac:dyDescent="0.25">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25">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25">
      <c r="A361">
        <v>17230</v>
      </c>
      <c r="B361" t="s">
        <v>36</v>
      </c>
      <c r="C361" t="s">
        <v>38</v>
      </c>
      <c r="D361" s="3">
        <v>80000</v>
      </c>
      <c r="E361">
        <v>0</v>
      </c>
      <c r="F361" t="s">
        <v>13</v>
      </c>
      <c r="G361" t="s">
        <v>21</v>
      </c>
      <c r="H361" t="s">
        <v>15</v>
      </c>
      <c r="I361">
        <v>3</v>
      </c>
      <c r="J361" t="s">
        <v>49</v>
      </c>
      <c r="K361" t="s">
        <v>24</v>
      </c>
      <c r="L361" t="str">
        <f t="shared" si="5"/>
        <v>Adolescent</v>
      </c>
      <c r="M361">
        <v>30</v>
      </c>
      <c r="N361" t="s">
        <v>18</v>
      </c>
    </row>
    <row r="362" spans="1:14" x14ac:dyDescent="0.25">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25">
      <c r="A363">
        <v>22518</v>
      </c>
      <c r="B363" t="s">
        <v>37</v>
      </c>
      <c r="C363" t="s">
        <v>39</v>
      </c>
      <c r="D363" s="3">
        <v>30000</v>
      </c>
      <c r="E363">
        <v>3</v>
      </c>
      <c r="F363" t="s">
        <v>19</v>
      </c>
      <c r="G363" t="s">
        <v>20</v>
      </c>
      <c r="H363" t="s">
        <v>18</v>
      </c>
      <c r="I363">
        <v>2</v>
      </c>
      <c r="J363" t="s">
        <v>16</v>
      </c>
      <c r="K363" t="s">
        <v>17</v>
      </c>
      <c r="L363" t="str">
        <f t="shared" si="5"/>
        <v>Adolescent</v>
      </c>
      <c r="M363">
        <v>27</v>
      </c>
      <c r="N363" t="s">
        <v>15</v>
      </c>
    </row>
    <row r="364" spans="1:14" x14ac:dyDescent="0.25">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2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25">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25">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25">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25">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25">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25">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25">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37</v>
      </c>
      <c r="C382" t="s">
        <v>38</v>
      </c>
      <c r="D382" s="3">
        <v>70000</v>
      </c>
      <c r="E382">
        <v>0</v>
      </c>
      <c r="F382" t="s">
        <v>13</v>
      </c>
      <c r="G382" t="s">
        <v>21</v>
      </c>
      <c r="H382" t="s">
        <v>18</v>
      </c>
      <c r="I382">
        <v>3</v>
      </c>
      <c r="J382" t="s">
        <v>49</v>
      </c>
      <c r="K382" t="s">
        <v>24</v>
      </c>
      <c r="L382" t="str">
        <f t="shared" si="5"/>
        <v>Adolescent</v>
      </c>
      <c r="M382">
        <v>30</v>
      </c>
      <c r="N382" t="s">
        <v>15</v>
      </c>
    </row>
    <row r="383" spans="1:14" x14ac:dyDescent="0.25">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25">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25">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37</v>
      </c>
      <c r="C386" t="s">
        <v>39</v>
      </c>
      <c r="D386" s="3">
        <v>10000</v>
      </c>
      <c r="E386">
        <v>0</v>
      </c>
      <c r="F386" t="s">
        <v>19</v>
      </c>
      <c r="G386" t="s">
        <v>25</v>
      </c>
      <c r="H386" t="s">
        <v>18</v>
      </c>
      <c r="I386">
        <v>1</v>
      </c>
      <c r="J386" t="s">
        <v>16</v>
      </c>
      <c r="K386" t="s">
        <v>24</v>
      </c>
      <c r="L386" t="str">
        <f t="shared" si="5"/>
        <v>Adolescent</v>
      </c>
      <c r="M386">
        <v>28</v>
      </c>
      <c r="N386" t="s">
        <v>15</v>
      </c>
    </row>
    <row r="387" spans="1:14" x14ac:dyDescent="0.25">
      <c r="A387">
        <v>18018</v>
      </c>
      <c r="B387" t="s">
        <v>37</v>
      </c>
      <c r="C387" t="s">
        <v>38</v>
      </c>
      <c r="D387" s="3">
        <v>30000</v>
      </c>
      <c r="E387">
        <v>3</v>
      </c>
      <c r="F387" t="s">
        <v>19</v>
      </c>
      <c r="G387" t="s">
        <v>20</v>
      </c>
      <c r="H387" t="s">
        <v>15</v>
      </c>
      <c r="I387">
        <v>0</v>
      </c>
      <c r="J387" t="s">
        <v>16</v>
      </c>
      <c r="K387" t="s">
        <v>17</v>
      </c>
      <c r="L387" t="str">
        <f t="shared" si="5"/>
        <v>Middle Age</v>
      </c>
      <c r="M387">
        <v>43</v>
      </c>
      <c r="N387" t="s">
        <v>18</v>
      </c>
    </row>
    <row r="388" spans="1:14" x14ac:dyDescent="0.25">
      <c r="A388">
        <v>28957</v>
      </c>
      <c r="B388" t="s">
        <v>37</v>
      </c>
      <c r="C388" t="s">
        <v>39</v>
      </c>
      <c r="D388" s="3">
        <v>120000</v>
      </c>
      <c r="E388">
        <v>0</v>
      </c>
      <c r="F388" t="s">
        <v>29</v>
      </c>
      <c r="G388" t="s">
        <v>21</v>
      </c>
      <c r="H388" t="s">
        <v>15</v>
      </c>
      <c r="I388">
        <v>4</v>
      </c>
      <c r="J388" t="s">
        <v>49</v>
      </c>
      <c r="K388" t="s">
        <v>24</v>
      </c>
      <c r="L388" t="str">
        <f t="shared" ref="L388:L451" si="6">IF(M388&gt;55,"Old",IF(M388&gt;=31,"Middle Age",IF(M388&lt;31,"Adolescent","Invalid")))</f>
        <v>Middle Age</v>
      </c>
      <c r="M388">
        <v>34</v>
      </c>
      <c r="N388" t="s">
        <v>15</v>
      </c>
    </row>
    <row r="389" spans="1:14" x14ac:dyDescent="0.25">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25">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2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25">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2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25">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25">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2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25">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25">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25">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25">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25">
      <c r="A428">
        <v>19389</v>
      </c>
      <c r="B428" t="s">
        <v>37</v>
      </c>
      <c r="C428" t="s">
        <v>38</v>
      </c>
      <c r="D428" s="3">
        <v>30000</v>
      </c>
      <c r="E428">
        <v>0</v>
      </c>
      <c r="F428" t="s">
        <v>19</v>
      </c>
      <c r="G428" t="s">
        <v>20</v>
      </c>
      <c r="H428" t="s">
        <v>18</v>
      </c>
      <c r="I428">
        <v>1</v>
      </c>
      <c r="J428" t="s">
        <v>22</v>
      </c>
      <c r="K428" t="s">
        <v>17</v>
      </c>
      <c r="L428" t="str">
        <f t="shared" si="6"/>
        <v>Adolescent</v>
      </c>
      <c r="M428">
        <v>28</v>
      </c>
      <c r="N428" t="s">
        <v>18</v>
      </c>
    </row>
    <row r="429" spans="1:14" x14ac:dyDescent="0.25">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37</v>
      </c>
      <c r="C432" t="s">
        <v>39</v>
      </c>
      <c r="D432" s="3">
        <v>30000</v>
      </c>
      <c r="E432">
        <v>3</v>
      </c>
      <c r="F432" t="s">
        <v>27</v>
      </c>
      <c r="G432" t="s">
        <v>14</v>
      </c>
      <c r="H432" t="s">
        <v>15</v>
      </c>
      <c r="I432">
        <v>2</v>
      </c>
      <c r="J432" t="s">
        <v>23</v>
      </c>
      <c r="K432" t="s">
        <v>24</v>
      </c>
      <c r="L432" t="str">
        <f t="shared" si="6"/>
        <v>Middle Age</v>
      </c>
      <c r="M432">
        <v>55</v>
      </c>
      <c r="N432" t="s">
        <v>18</v>
      </c>
    </row>
    <row r="433" spans="1:14" x14ac:dyDescent="0.25">
      <c r="A433">
        <v>28488</v>
      </c>
      <c r="B433" t="s">
        <v>37</v>
      </c>
      <c r="C433" t="s">
        <v>38</v>
      </c>
      <c r="D433" s="3">
        <v>20000</v>
      </c>
      <c r="E433">
        <v>0</v>
      </c>
      <c r="F433" t="s">
        <v>19</v>
      </c>
      <c r="G433" t="s">
        <v>25</v>
      </c>
      <c r="H433" t="s">
        <v>15</v>
      </c>
      <c r="I433">
        <v>0</v>
      </c>
      <c r="J433" t="s">
        <v>16</v>
      </c>
      <c r="K433" t="s">
        <v>24</v>
      </c>
      <c r="L433" t="str">
        <f t="shared" si="6"/>
        <v>Adolescent</v>
      </c>
      <c r="M433">
        <v>28</v>
      </c>
      <c r="N433" t="s">
        <v>15</v>
      </c>
    </row>
    <row r="434" spans="1:14" x14ac:dyDescent="0.25">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25">
      <c r="A435">
        <v>27814</v>
      </c>
      <c r="B435" t="s">
        <v>37</v>
      </c>
      <c r="C435" t="s">
        <v>39</v>
      </c>
      <c r="D435" s="3">
        <v>30000</v>
      </c>
      <c r="E435">
        <v>3</v>
      </c>
      <c r="F435" t="s">
        <v>19</v>
      </c>
      <c r="G435" t="s">
        <v>20</v>
      </c>
      <c r="H435" t="s">
        <v>18</v>
      </c>
      <c r="I435">
        <v>1</v>
      </c>
      <c r="J435" t="s">
        <v>16</v>
      </c>
      <c r="K435" t="s">
        <v>17</v>
      </c>
      <c r="L435" t="str">
        <f t="shared" si="6"/>
        <v>Adolescent</v>
      </c>
      <c r="M435">
        <v>26</v>
      </c>
      <c r="N435" t="s">
        <v>18</v>
      </c>
    </row>
    <row r="436" spans="1:14" x14ac:dyDescent="0.25">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2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37</v>
      </c>
      <c r="C439" t="s">
        <v>39</v>
      </c>
      <c r="D439" s="3">
        <v>30000</v>
      </c>
      <c r="E439">
        <v>3</v>
      </c>
      <c r="F439" t="s">
        <v>19</v>
      </c>
      <c r="G439" t="s">
        <v>20</v>
      </c>
      <c r="H439" t="s">
        <v>15</v>
      </c>
      <c r="I439">
        <v>2</v>
      </c>
      <c r="J439" t="s">
        <v>16</v>
      </c>
      <c r="K439" t="s">
        <v>17</v>
      </c>
      <c r="L439" t="str">
        <f t="shared" si="6"/>
        <v>Adolescent</v>
      </c>
      <c r="M439">
        <v>28</v>
      </c>
      <c r="N439" t="s">
        <v>15</v>
      </c>
    </row>
    <row r="440" spans="1:14" x14ac:dyDescent="0.25">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25">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25">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2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2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36</v>
      </c>
      <c r="C451" t="s">
        <v>39</v>
      </c>
      <c r="D451" s="3">
        <v>40000</v>
      </c>
      <c r="E451">
        <v>1</v>
      </c>
      <c r="F451" t="s">
        <v>13</v>
      </c>
      <c r="G451" t="s">
        <v>14</v>
      </c>
      <c r="H451" t="s">
        <v>15</v>
      </c>
      <c r="I451">
        <v>0</v>
      </c>
      <c r="J451" t="s">
        <v>16</v>
      </c>
      <c r="K451" t="s">
        <v>17</v>
      </c>
      <c r="L451" t="str">
        <f t="shared" si="6"/>
        <v>Middle Age</v>
      </c>
      <c r="M451">
        <v>42</v>
      </c>
      <c r="N451" t="s">
        <v>18</v>
      </c>
    </row>
    <row r="452" spans="1:14" x14ac:dyDescent="0.25">
      <c r="A452">
        <v>16559</v>
      </c>
      <c r="B452" t="s">
        <v>37</v>
      </c>
      <c r="C452" t="s">
        <v>39</v>
      </c>
      <c r="D452" s="3">
        <v>10000</v>
      </c>
      <c r="E452">
        <v>2</v>
      </c>
      <c r="F452" t="s">
        <v>27</v>
      </c>
      <c r="G452" t="s">
        <v>25</v>
      </c>
      <c r="H452" t="s">
        <v>15</v>
      </c>
      <c r="I452">
        <v>0</v>
      </c>
      <c r="J452" t="s">
        <v>16</v>
      </c>
      <c r="K452" t="s">
        <v>17</v>
      </c>
      <c r="L452" t="str">
        <f t="shared" ref="L452:L515" si="7">IF(M452&gt;55,"Old",IF(M452&gt;=31,"Middle Age",IF(M452&lt;31,"Adolescent","Invalid")))</f>
        <v>Middle Age</v>
      </c>
      <c r="M452">
        <v>36</v>
      </c>
      <c r="N452" t="s">
        <v>15</v>
      </c>
    </row>
    <row r="453" spans="1:14" x14ac:dyDescent="0.2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25">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25">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25">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25">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25">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25">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25">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25">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2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25">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25">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25">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25">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25">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25">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25">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25">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25">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2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36</v>
      </c>
      <c r="C504" t="s">
        <v>38</v>
      </c>
      <c r="D504" s="3">
        <v>40000</v>
      </c>
      <c r="E504">
        <v>0</v>
      </c>
      <c r="F504" t="s">
        <v>19</v>
      </c>
      <c r="G504" t="s">
        <v>14</v>
      </c>
      <c r="H504" t="s">
        <v>15</v>
      </c>
      <c r="I504">
        <v>1</v>
      </c>
      <c r="J504" t="s">
        <v>23</v>
      </c>
      <c r="K504" t="s">
        <v>32</v>
      </c>
      <c r="L504" t="str">
        <f t="shared" si="7"/>
        <v>Adolescent</v>
      </c>
      <c r="M504">
        <v>29</v>
      </c>
      <c r="N504" t="s">
        <v>18</v>
      </c>
    </row>
    <row r="505" spans="1:14" x14ac:dyDescent="0.2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25">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36</v>
      </c>
      <c r="C510" t="s">
        <v>38</v>
      </c>
      <c r="D510" s="3">
        <v>60000</v>
      </c>
      <c r="E510">
        <v>0</v>
      </c>
      <c r="F510" t="s">
        <v>19</v>
      </c>
      <c r="G510" t="s">
        <v>14</v>
      </c>
      <c r="H510" t="s">
        <v>18</v>
      </c>
      <c r="I510">
        <v>2</v>
      </c>
      <c r="J510" t="s">
        <v>26</v>
      </c>
      <c r="K510" t="s">
        <v>32</v>
      </c>
      <c r="L510" t="str">
        <f t="shared" si="7"/>
        <v>Adolescent</v>
      </c>
      <c r="M510">
        <v>29</v>
      </c>
      <c r="N510" t="s">
        <v>18</v>
      </c>
    </row>
    <row r="511" spans="1:14" x14ac:dyDescent="0.25">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25">
      <c r="A515">
        <v>13353</v>
      </c>
      <c r="B515" t="s">
        <v>37</v>
      </c>
      <c r="C515" t="s">
        <v>39</v>
      </c>
      <c r="D515" s="3">
        <v>60000</v>
      </c>
      <c r="E515">
        <v>4</v>
      </c>
      <c r="F515" t="s">
        <v>31</v>
      </c>
      <c r="G515" t="s">
        <v>28</v>
      </c>
      <c r="H515" t="s">
        <v>15</v>
      </c>
      <c r="I515">
        <v>2</v>
      </c>
      <c r="J515" t="s">
        <v>49</v>
      </c>
      <c r="K515" t="s">
        <v>32</v>
      </c>
      <c r="L515" t="str">
        <f t="shared" si="7"/>
        <v>Old</v>
      </c>
      <c r="M515">
        <v>61</v>
      </c>
      <c r="N515" t="s">
        <v>15</v>
      </c>
    </row>
    <row r="516" spans="1:14" x14ac:dyDescent="0.25">
      <c r="A516">
        <v>19399</v>
      </c>
      <c r="B516" t="s">
        <v>37</v>
      </c>
      <c r="C516" t="s">
        <v>38</v>
      </c>
      <c r="D516" s="3">
        <v>40000</v>
      </c>
      <c r="E516">
        <v>0</v>
      </c>
      <c r="F516" t="s">
        <v>13</v>
      </c>
      <c r="G516" t="s">
        <v>21</v>
      </c>
      <c r="H516" t="s">
        <v>18</v>
      </c>
      <c r="I516">
        <v>1</v>
      </c>
      <c r="J516" t="s">
        <v>22</v>
      </c>
      <c r="K516" t="s">
        <v>32</v>
      </c>
      <c r="L516" t="str">
        <f t="shared" ref="L516:L579" si="8">IF(M516&gt;55,"Old",IF(M516&gt;=31,"Middle Age",IF(M516&lt;31,"Adolescent","Invalid")))</f>
        <v>Middle Age</v>
      </c>
      <c r="M516">
        <v>45</v>
      </c>
      <c r="N516" t="s">
        <v>18</v>
      </c>
    </row>
    <row r="517" spans="1:14" x14ac:dyDescent="0.2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2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25">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2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25">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25">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25">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25">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25">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2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37</v>
      </c>
      <c r="C530" t="s">
        <v>39</v>
      </c>
      <c r="D530" s="3">
        <v>30000</v>
      </c>
      <c r="E530">
        <v>0</v>
      </c>
      <c r="F530" t="s">
        <v>19</v>
      </c>
      <c r="G530" t="s">
        <v>14</v>
      </c>
      <c r="H530" t="s">
        <v>15</v>
      </c>
      <c r="I530">
        <v>1</v>
      </c>
      <c r="J530" t="s">
        <v>23</v>
      </c>
      <c r="K530" t="s">
        <v>32</v>
      </c>
      <c r="L530" t="str">
        <f t="shared" si="8"/>
        <v>Adolescent</v>
      </c>
      <c r="M530">
        <v>28</v>
      </c>
      <c r="N530" t="s">
        <v>18</v>
      </c>
    </row>
    <row r="531" spans="1:14" x14ac:dyDescent="0.25">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25">
      <c r="A532">
        <v>25909</v>
      </c>
      <c r="B532" t="s">
        <v>36</v>
      </c>
      <c r="C532" t="s">
        <v>38</v>
      </c>
      <c r="D532" s="3">
        <v>60000</v>
      </c>
      <c r="E532">
        <v>0</v>
      </c>
      <c r="F532" t="s">
        <v>19</v>
      </c>
      <c r="G532" t="s">
        <v>14</v>
      </c>
      <c r="H532" t="s">
        <v>15</v>
      </c>
      <c r="I532">
        <v>1</v>
      </c>
      <c r="J532" t="s">
        <v>23</v>
      </c>
      <c r="K532" t="s">
        <v>32</v>
      </c>
      <c r="L532" t="str">
        <f t="shared" si="8"/>
        <v>Adolescent</v>
      </c>
      <c r="M532">
        <v>27</v>
      </c>
      <c r="N532" t="s">
        <v>15</v>
      </c>
    </row>
    <row r="533" spans="1:14" x14ac:dyDescent="0.25">
      <c r="A533">
        <v>14092</v>
      </c>
      <c r="B533" t="s">
        <v>37</v>
      </c>
      <c r="C533" t="s">
        <v>38</v>
      </c>
      <c r="D533" s="3">
        <v>30000</v>
      </c>
      <c r="E533">
        <v>0</v>
      </c>
      <c r="F533" t="s">
        <v>29</v>
      </c>
      <c r="G533" t="s">
        <v>20</v>
      </c>
      <c r="H533" t="s">
        <v>15</v>
      </c>
      <c r="I533">
        <v>2</v>
      </c>
      <c r="J533" t="s">
        <v>23</v>
      </c>
      <c r="K533" t="s">
        <v>32</v>
      </c>
      <c r="L533" t="str">
        <f t="shared" si="8"/>
        <v>Adolescent</v>
      </c>
      <c r="M533">
        <v>28</v>
      </c>
      <c r="N533" t="s">
        <v>18</v>
      </c>
    </row>
    <row r="534" spans="1:14" x14ac:dyDescent="0.25">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25">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25">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25">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25">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25">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25">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25">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37</v>
      </c>
      <c r="C547" t="s">
        <v>38</v>
      </c>
      <c r="D547" s="3">
        <v>60000</v>
      </c>
      <c r="E547">
        <v>0</v>
      </c>
      <c r="F547" t="s">
        <v>19</v>
      </c>
      <c r="G547" t="s">
        <v>14</v>
      </c>
      <c r="H547" t="s">
        <v>18</v>
      </c>
      <c r="I547">
        <v>2</v>
      </c>
      <c r="J547" t="s">
        <v>26</v>
      </c>
      <c r="K547" t="s">
        <v>32</v>
      </c>
      <c r="L547" t="str">
        <f t="shared" si="8"/>
        <v>Adolescent</v>
      </c>
      <c r="M547">
        <v>29</v>
      </c>
      <c r="N547" t="s">
        <v>18</v>
      </c>
    </row>
    <row r="548" spans="1:14" x14ac:dyDescent="0.25">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25">
      <c r="A549">
        <v>19884</v>
      </c>
      <c r="B549" t="s">
        <v>36</v>
      </c>
      <c r="C549" t="s">
        <v>38</v>
      </c>
      <c r="D549" s="3">
        <v>60000</v>
      </c>
      <c r="E549">
        <v>2</v>
      </c>
      <c r="F549" t="s">
        <v>27</v>
      </c>
      <c r="G549" t="s">
        <v>21</v>
      </c>
      <c r="H549" t="s">
        <v>15</v>
      </c>
      <c r="I549">
        <v>2</v>
      </c>
      <c r="J549" t="s">
        <v>22</v>
      </c>
      <c r="K549" t="s">
        <v>32</v>
      </c>
      <c r="L549" t="str">
        <f t="shared" si="8"/>
        <v>Middle Age</v>
      </c>
      <c r="M549">
        <v>55</v>
      </c>
      <c r="N549" t="s">
        <v>15</v>
      </c>
    </row>
    <row r="550" spans="1:14" x14ac:dyDescent="0.25">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25">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25">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25">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25">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25">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2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25">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25">
      <c r="A565">
        <v>25006</v>
      </c>
      <c r="B565" t="s">
        <v>37</v>
      </c>
      <c r="C565" t="s">
        <v>39</v>
      </c>
      <c r="D565" s="3">
        <v>30000</v>
      </c>
      <c r="E565">
        <v>0</v>
      </c>
      <c r="F565" t="s">
        <v>19</v>
      </c>
      <c r="G565" t="s">
        <v>14</v>
      </c>
      <c r="H565" t="s">
        <v>15</v>
      </c>
      <c r="I565">
        <v>1</v>
      </c>
      <c r="J565" t="s">
        <v>23</v>
      </c>
      <c r="K565" t="s">
        <v>32</v>
      </c>
      <c r="L565" t="str">
        <f t="shared" si="8"/>
        <v>Adolescent</v>
      </c>
      <c r="M565">
        <v>28</v>
      </c>
      <c r="N565" t="s">
        <v>18</v>
      </c>
    </row>
    <row r="566" spans="1:14" x14ac:dyDescent="0.25">
      <c r="A566">
        <v>17369</v>
      </c>
      <c r="B566" t="s">
        <v>37</v>
      </c>
      <c r="C566" t="s">
        <v>38</v>
      </c>
      <c r="D566" s="3">
        <v>30000</v>
      </c>
      <c r="E566">
        <v>0</v>
      </c>
      <c r="F566" t="s">
        <v>19</v>
      </c>
      <c r="G566" t="s">
        <v>14</v>
      </c>
      <c r="H566" t="s">
        <v>15</v>
      </c>
      <c r="I566">
        <v>1</v>
      </c>
      <c r="J566" t="s">
        <v>23</v>
      </c>
      <c r="K566" t="s">
        <v>32</v>
      </c>
      <c r="L566" t="str">
        <f t="shared" si="8"/>
        <v>Adolescent</v>
      </c>
      <c r="M566">
        <v>27</v>
      </c>
      <c r="N566" t="s">
        <v>18</v>
      </c>
    </row>
    <row r="567" spans="1:14" x14ac:dyDescent="0.25">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2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25">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25">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25">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25">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25">
      <c r="A573">
        <v>20528</v>
      </c>
      <c r="B573" t="s">
        <v>36</v>
      </c>
      <c r="C573" t="s">
        <v>38</v>
      </c>
      <c r="D573" s="3">
        <v>40000</v>
      </c>
      <c r="E573">
        <v>2</v>
      </c>
      <c r="F573" t="s">
        <v>29</v>
      </c>
      <c r="G573" t="s">
        <v>14</v>
      </c>
      <c r="H573" t="s">
        <v>15</v>
      </c>
      <c r="I573">
        <v>2</v>
      </c>
      <c r="J573" t="s">
        <v>22</v>
      </c>
      <c r="K573" t="s">
        <v>32</v>
      </c>
      <c r="L573" t="str">
        <f t="shared" si="8"/>
        <v>Middle Age</v>
      </c>
      <c r="M573">
        <v>55</v>
      </c>
      <c r="N573" t="s">
        <v>18</v>
      </c>
    </row>
    <row r="574" spans="1:14" x14ac:dyDescent="0.25">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25">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25">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25">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25">
      <c r="A579">
        <v>16917</v>
      </c>
      <c r="B579" t="s">
        <v>36</v>
      </c>
      <c r="C579" t="s">
        <v>38</v>
      </c>
      <c r="D579" s="3">
        <v>120000</v>
      </c>
      <c r="E579">
        <v>1</v>
      </c>
      <c r="F579" t="s">
        <v>13</v>
      </c>
      <c r="G579" t="s">
        <v>28</v>
      </c>
      <c r="H579" t="s">
        <v>15</v>
      </c>
      <c r="I579">
        <v>4</v>
      </c>
      <c r="J579" t="s">
        <v>16</v>
      </c>
      <c r="K579" t="s">
        <v>32</v>
      </c>
      <c r="L579" t="str">
        <f t="shared" si="8"/>
        <v>Middle Age</v>
      </c>
      <c r="M579">
        <v>38</v>
      </c>
      <c r="N579" t="s">
        <v>18</v>
      </c>
    </row>
    <row r="580" spans="1:14" x14ac:dyDescent="0.25">
      <c r="A580">
        <v>15313</v>
      </c>
      <c r="B580" t="s">
        <v>36</v>
      </c>
      <c r="C580" t="s">
        <v>38</v>
      </c>
      <c r="D580" s="3">
        <v>60000</v>
      </c>
      <c r="E580">
        <v>4</v>
      </c>
      <c r="F580" t="s">
        <v>13</v>
      </c>
      <c r="G580" t="s">
        <v>28</v>
      </c>
      <c r="H580" t="s">
        <v>15</v>
      </c>
      <c r="I580">
        <v>2</v>
      </c>
      <c r="J580" t="s">
        <v>22</v>
      </c>
      <c r="K580" t="s">
        <v>32</v>
      </c>
      <c r="L580" t="str">
        <f t="shared" ref="L580:L643" si="9">IF(M580&gt;55,"Old",IF(M580&gt;=31,"Middle Age",IF(M580&lt;31,"Adolescent","Invalid")))</f>
        <v>Old</v>
      </c>
      <c r="M580">
        <v>59</v>
      </c>
      <c r="N580" t="s">
        <v>18</v>
      </c>
    </row>
    <row r="581" spans="1:14" x14ac:dyDescent="0.25">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25">
      <c r="A583">
        <v>23089</v>
      </c>
      <c r="B583" t="s">
        <v>36</v>
      </c>
      <c r="C583" t="s">
        <v>38</v>
      </c>
      <c r="D583" s="3">
        <v>40000</v>
      </c>
      <c r="E583">
        <v>0</v>
      </c>
      <c r="F583" t="s">
        <v>19</v>
      </c>
      <c r="G583" t="s">
        <v>14</v>
      </c>
      <c r="H583" t="s">
        <v>15</v>
      </c>
      <c r="I583">
        <v>1</v>
      </c>
      <c r="J583" t="s">
        <v>23</v>
      </c>
      <c r="K583" t="s">
        <v>32</v>
      </c>
      <c r="L583" t="str">
        <f t="shared" si="9"/>
        <v>Adolescent</v>
      </c>
      <c r="M583">
        <v>28</v>
      </c>
      <c r="N583" t="s">
        <v>18</v>
      </c>
    </row>
    <row r="584" spans="1:14" x14ac:dyDescent="0.25">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25">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25">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25">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2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25">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2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25">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25">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25">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25">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25">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25">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25">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25">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25">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2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25">
      <c r="A614">
        <v>22983</v>
      </c>
      <c r="B614" t="s">
        <v>37</v>
      </c>
      <c r="C614" t="s">
        <v>39</v>
      </c>
      <c r="D614" s="3">
        <v>30000</v>
      </c>
      <c r="E614">
        <v>0</v>
      </c>
      <c r="F614" t="s">
        <v>29</v>
      </c>
      <c r="G614" t="s">
        <v>20</v>
      </c>
      <c r="H614" t="s">
        <v>15</v>
      </c>
      <c r="I614">
        <v>2</v>
      </c>
      <c r="J614" t="s">
        <v>23</v>
      </c>
      <c r="K614" t="s">
        <v>32</v>
      </c>
      <c r="L614" t="str">
        <f t="shared" si="9"/>
        <v>Adolescent</v>
      </c>
      <c r="M614">
        <v>27</v>
      </c>
      <c r="N614" t="s">
        <v>18</v>
      </c>
    </row>
    <row r="615" spans="1:14" x14ac:dyDescent="0.25">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25">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25">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25">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25">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36</v>
      </c>
      <c r="C625" t="s">
        <v>39</v>
      </c>
      <c r="D625" s="3">
        <v>70000</v>
      </c>
      <c r="E625">
        <v>4</v>
      </c>
      <c r="F625" t="s">
        <v>19</v>
      </c>
      <c r="G625" t="s">
        <v>21</v>
      </c>
      <c r="H625" t="s">
        <v>15</v>
      </c>
      <c r="I625">
        <v>1</v>
      </c>
      <c r="J625" t="s">
        <v>26</v>
      </c>
      <c r="K625" t="s">
        <v>32</v>
      </c>
      <c r="L625" t="str">
        <f t="shared" si="9"/>
        <v>Middle Age</v>
      </c>
      <c r="M625">
        <v>55</v>
      </c>
      <c r="N625" t="s">
        <v>18</v>
      </c>
    </row>
    <row r="626" spans="1:14" x14ac:dyDescent="0.25">
      <c r="A626">
        <v>25943</v>
      </c>
      <c r="B626" t="s">
        <v>37</v>
      </c>
      <c r="C626" t="s">
        <v>39</v>
      </c>
      <c r="D626" s="3">
        <v>70000</v>
      </c>
      <c r="E626">
        <v>0</v>
      </c>
      <c r="F626" t="s">
        <v>19</v>
      </c>
      <c r="G626" t="s">
        <v>14</v>
      </c>
      <c r="H626" t="s">
        <v>18</v>
      </c>
      <c r="I626">
        <v>2</v>
      </c>
      <c r="J626" t="s">
        <v>16</v>
      </c>
      <c r="K626" t="s">
        <v>32</v>
      </c>
      <c r="L626" t="str">
        <f t="shared" si="9"/>
        <v>Adolescent</v>
      </c>
      <c r="M626">
        <v>27</v>
      </c>
      <c r="N626" t="s">
        <v>15</v>
      </c>
    </row>
    <row r="627" spans="1:14" x14ac:dyDescent="0.25">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36</v>
      </c>
      <c r="C628" t="s">
        <v>39</v>
      </c>
      <c r="D628" s="3">
        <v>60000</v>
      </c>
      <c r="E628">
        <v>0</v>
      </c>
      <c r="F628" t="s">
        <v>19</v>
      </c>
      <c r="G628" t="s">
        <v>14</v>
      </c>
      <c r="H628" t="s">
        <v>15</v>
      </c>
      <c r="I628">
        <v>2</v>
      </c>
      <c r="J628" t="s">
        <v>23</v>
      </c>
      <c r="K628" t="s">
        <v>32</v>
      </c>
      <c r="L628" t="str">
        <f t="shared" si="9"/>
        <v>Adolescent</v>
      </c>
      <c r="M628">
        <v>29</v>
      </c>
      <c r="N628" t="s">
        <v>18</v>
      </c>
    </row>
    <row r="629" spans="1:14" x14ac:dyDescent="0.2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2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25">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25">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25">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25">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25">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25">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25">
      <c r="A643">
        <v>21441</v>
      </c>
      <c r="B643" t="s">
        <v>36</v>
      </c>
      <c r="C643" t="s">
        <v>38</v>
      </c>
      <c r="D643" s="3">
        <v>50000</v>
      </c>
      <c r="E643">
        <v>4</v>
      </c>
      <c r="F643" t="s">
        <v>13</v>
      </c>
      <c r="G643" t="s">
        <v>28</v>
      </c>
      <c r="H643" t="s">
        <v>15</v>
      </c>
      <c r="I643">
        <v>2</v>
      </c>
      <c r="J643" t="s">
        <v>49</v>
      </c>
      <c r="K643" t="s">
        <v>32</v>
      </c>
      <c r="L643" t="str">
        <f t="shared" si="9"/>
        <v>Old</v>
      </c>
      <c r="M643">
        <v>64</v>
      </c>
      <c r="N643" t="s">
        <v>18</v>
      </c>
    </row>
    <row r="644" spans="1:14" x14ac:dyDescent="0.25">
      <c r="A644">
        <v>21741</v>
      </c>
      <c r="B644" t="s">
        <v>36</v>
      </c>
      <c r="C644" t="s">
        <v>39</v>
      </c>
      <c r="D644" s="3">
        <v>70000</v>
      </c>
      <c r="E644">
        <v>3</v>
      </c>
      <c r="F644" t="s">
        <v>19</v>
      </c>
      <c r="G644" t="s">
        <v>21</v>
      </c>
      <c r="H644" t="s">
        <v>15</v>
      </c>
      <c r="I644">
        <v>2</v>
      </c>
      <c r="J644" t="s">
        <v>23</v>
      </c>
      <c r="K644" t="s">
        <v>32</v>
      </c>
      <c r="L644" t="str">
        <f t="shared" ref="L644:L707" si="10">IF(M644&gt;55,"Old",IF(M644&gt;=31,"Middle Age",IF(M644&lt;31,"Adolescent","Invalid")))</f>
        <v>Middle Age</v>
      </c>
      <c r="M644">
        <v>50</v>
      </c>
      <c r="N644" t="s">
        <v>15</v>
      </c>
    </row>
    <row r="645" spans="1:14" x14ac:dyDescent="0.2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25">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25">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25">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25">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25">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25">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2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25">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25">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25">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2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25">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25">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25">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25">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25">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25">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25">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25">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25">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37</v>
      </c>
      <c r="C689" t="s">
        <v>38</v>
      </c>
      <c r="D689" s="3">
        <v>30000</v>
      </c>
      <c r="E689">
        <v>0</v>
      </c>
      <c r="F689" t="s">
        <v>19</v>
      </c>
      <c r="G689" t="s">
        <v>14</v>
      </c>
      <c r="H689" t="s">
        <v>15</v>
      </c>
      <c r="I689">
        <v>2</v>
      </c>
      <c r="J689" t="s">
        <v>23</v>
      </c>
      <c r="K689" t="s">
        <v>32</v>
      </c>
      <c r="L689" t="str">
        <f t="shared" si="10"/>
        <v>Adolescent</v>
      </c>
      <c r="M689">
        <v>30</v>
      </c>
      <c r="N689" t="s">
        <v>18</v>
      </c>
    </row>
    <row r="690" spans="1:14" x14ac:dyDescent="0.25">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25">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25">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25">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25">
      <c r="A698">
        <v>29112</v>
      </c>
      <c r="B698" t="s">
        <v>37</v>
      </c>
      <c r="C698" t="s">
        <v>38</v>
      </c>
      <c r="D698" s="3">
        <v>60000</v>
      </c>
      <c r="E698">
        <v>0</v>
      </c>
      <c r="F698" t="s">
        <v>19</v>
      </c>
      <c r="G698" t="s">
        <v>21</v>
      </c>
      <c r="H698" t="s">
        <v>18</v>
      </c>
      <c r="I698">
        <v>2</v>
      </c>
      <c r="J698" t="s">
        <v>26</v>
      </c>
      <c r="K698" t="s">
        <v>32</v>
      </c>
      <c r="L698" t="str">
        <f t="shared" si="10"/>
        <v>Adolescent</v>
      </c>
      <c r="M698">
        <v>30</v>
      </c>
      <c r="N698" t="s">
        <v>18</v>
      </c>
    </row>
    <row r="699" spans="1:14" x14ac:dyDescent="0.25">
      <c r="A699">
        <v>14090</v>
      </c>
      <c r="B699" t="s">
        <v>36</v>
      </c>
      <c r="C699" t="s">
        <v>39</v>
      </c>
      <c r="D699" s="3">
        <v>30000</v>
      </c>
      <c r="E699">
        <v>0</v>
      </c>
      <c r="F699" t="s">
        <v>29</v>
      </c>
      <c r="G699" t="s">
        <v>20</v>
      </c>
      <c r="H699" t="s">
        <v>18</v>
      </c>
      <c r="I699">
        <v>2</v>
      </c>
      <c r="J699" t="s">
        <v>16</v>
      </c>
      <c r="K699" t="s">
        <v>32</v>
      </c>
      <c r="L699" t="str">
        <f t="shared" si="10"/>
        <v>Adolescent</v>
      </c>
      <c r="M699">
        <v>28</v>
      </c>
      <c r="N699" t="s">
        <v>18</v>
      </c>
    </row>
    <row r="700" spans="1:14" x14ac:dyDescent="0.25">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25">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2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25">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25">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36</v>
      </c>
      <c r="C707" t="s">
        <v>39</v>
      </c>
      <c r="D707" s="3">
        <v>70000</v>
      </c>
      <c r="E707">
        <v>4</v>
      </c>
      <c r="F707" t="s">
        <v>13</v>
      </c>
      <c r="G707" t="s">
        <v>28</v>
      </c>
      <c r="H707" t="s">
        <v>15</v>
      </c>
      <c r="I707">
        <v>1</v>
      </c>
      <c r="J707" t="s">
        <v>49</v>
      </c>
      <c r="K707" t="s">
        <v>32</v>
      </c>
      <c r="L707" t="str">
        <f t="shared" si="10"/>
        <v>Old</v>
      </c>
      <c r="M707">
        <v>59</v>
      </c>
      <c r="N707" t="s">
        <v>18</v>
      </c>
    </row>
    <row r="708" spans="1:14" x14ac:dyDescent="0.25">
      <c r="A708">
        <v>20296</v>
      </c>
      <c r="B708" t="s">
        <v>37</v>
      </c>
      <c r="C708" t="s">
        <v>39</v>
      </c>
      <c r="D708" s="3">
        <v>60000</v>
      </c>
      <c r="E708">
        <v>0</v>
      </c>
      <c r="F708" t="s">
        <v>19</v>
      </c>
      <c r="G708" t="s">
        <v>14</v>
      </c>
      <c r="H708" t="s">
        <v>18</v>
      </c>
      <c r="I708">
        <v>1</v>
      </c>
      <c r="J708" t="s">
        <v>26</v>
      </c>
      <c r="K708" t="s">
        <v>32</v>
      </c>
      <c r="L708" t="str">
        <f t="shared" ref="L708:L771" si="11">IF(M708&gt;55,"Old",IF(M708&gt;=31,"Middle Age",IF(M708&lt;31,"Adolescent","Invalid")))</f>
        <v>Middle Age</v>
      </c>
      <c r="M708">
        <v>33</v>
      </c>
      <c r="N708" t="s">
        <v>15</v>
      </c>
    </row>
    <row r="709" spans="1:14" x14ac:dyDescent="0.25">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25">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25">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25">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2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25">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2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25">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25">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25">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25">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25">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2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25">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25">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25">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37</v>
      </c>
      <c r="C737" t="s">
        <v>39</v>
      </c>
      <c r="D737" s="3">
        <v>30000</v>
      </c>
      <c r="E737">
        <v>0</v>
      </c>
      <c r="F737" t="s">
        <v>19</v>
      </c>
      <c r="G737" t="s">
        <v>14</v>
      </c>
      <c r="H737" t="s">
        <v>15</v>
      </c>
      <c r="I737">
        <v>1</v>
      </c>
      <c r="J737" t="s">
        <v>23</v>
      </c>
      <c r="K737" t="s">
        <v>32</v>
      </c>
      <c r="L737" t="str">
        <f t="shared" si="11"/>
        <v>Adolescent</v>
      </c>
      <c r="M737">
        <v>26</v>
      </c>
      <c r="N737" t="s">
        <v>18</v>
      </c>
    </row>
    <row r="738" spans="1:14" x14ac:dyDescent="0.25">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25">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36</v>
      </c>
      <c r="C741" t="s">
        <v>39</v>
      </c>
      <c r="D741" s="3">
        <v>60000</v>
      </c>
      <c r="E741">
        <v>2</v>
      </c>
      <c r="F741" t="s">
        <v>19</v>
      </c>
      <c r="G741" t="s">
        <v>21</v>
      </c>
      <c r="H741" t="s">
        <v>15</v>
      </c>
      <c r="I741">
        <v>1</v>
      </c>
      <c r="J741" t="s">
        <v>49</v>
      </c>
      <c r="K741" t="s">
        <v>32</v>
      </c>
      <c r="L741" t="str">
        <f t="shared" si="11"/>
        <v>Middle Age</v>
      </c>
      <c r="M741">
        <v>55</v>
      </c>
      <c r="N741" t="s">
        <v>18</v>
      </c>
    </row>
    <row r="742" spans="1:14" x14ac:dyDescent="0.25">
      <c r="A742">
        <v>17657</v>
      </c>
      <c r="B742" t="s">
        <v>36</v>
      </c>
      <c r="C742" t="s">
        <v>38</v>
      </c>
      <c r="D742" s="3">
        <v>40000</v>
      </c>
      <c r="E742">
        <v>4</v>
      </c>
      <c r="F742" t="s">
        <v>19</v>
      </c>
      <c r="G742" t="s">
        <v>20</v>
      </c>
      <c r="H742" t="s">
        <v>18</v>
      </c>
      <c r="I742">
        <v>0</v>
      </c>
      <c r="J742" t="s">
        <v>16</v>
      </c>
      <c r="K742" t="s">
        <v>32</v>
      </c>
      <c r="L742" t="str">
        <f t="shared" si="11"/>
        <v>Adolescent</v>
      </c>
      <c r="M742">
        <v>30</v>
      </c>
      <c r="N742" t="s">
        <v>18</v>
      </c>
    </row>
    <row r="743" spans="1:14" x14ac:dyDescent="0.25">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25">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25">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25">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25">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25">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25">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37</v>
      </c>
      <c r="C755" t="s">
        <v>39</v>
      </c>
      <c r="D755" s="3">
        <v>40000</v>
      </c>
      <c r="E755">
        <v>0</v>
      </c>
      <c r="F755" t="s">
        <v>19</v>
      </c>
      <c r="G755" t="s">
        <v>14</v>
      </c>
      <c r="H755" t="s">
        <v>18</v>
      </c>
      <c r="I755">
        <v>1</v>
      </c>
      <c r="J755" t="s">
        <v>26</v>
      </c>
      <c r="K755" t="s">
        <v>32</v>
      </c>
      <c r="L755" t="str">
        <f t="shared" si="11"/>
        <v>Adolescent</v>
      </c>
      <c r="M755">
        <v>27</v>
      </c>
      <c r="N755" t="s">
        <v>18</v>
      </c>
    </row>
    <row r="756" spans="1:14" x14ac:dyDescent="0.2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25">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25">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25">
      <c r="A766">
        <v>25908</v>
      </c>
      <c r="B766" t="s">
        <v>36</v>
      </c>
      <c r="C766" t="s">
        <v>39</v>
      </c>
      <c r="D766" s="3">
        <v>60000</v>
      </c>
      <c r="E766">
        <v>0</v>
      </c>
      <c r="F766" t="s">
        <v>19</v>
      </c>
      <c r="G766" t="s">
        <v>14</v>
      </c>
      <c r="H766" t="s">
        <v>18</v>
      </c>
      <c r="I766">
        <v>1</v>
      </c>
      <c r="J766" t="s">
        <v>26</v>
      </c>
      <c r="K766" t="s">
        <v>32</v>
      </c>
      <c r="L766" t="str">
        <f t="shared" si="11"/>
        <v>Adolescent</v>
      </c>
      <c r="M766">
        <v>27</v>
      </c>
      <c r="N766" t="s">
        <v>18</v>
      </c>
    </row>
    <row r="767" spans="1:14" x14ac:dyDescent="0.25">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25">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36</v>
      </c>
      <c r="C771" t="s">
        <v>39</v>
      </c>
      <c r="D771" s="3">
        <v>100000</v>
      </c>
      <c r="E771">
        <v>4</v>
      </c>
      <c r="F771" t="s">
        <v>13</v>
      </c>
      <c r="G771" t="s">
        <v>28</v>
      </c>
      <c r="H771" t="s">
        <v>15</v>
      </c>
      <c r="I771">
        <v>4</v>
      </c>
      <c r="J771" t="s">
        <v>16</v>
      </c>
      <c r="K771" t="s">
        <v>32</v>
      </c>
      <c r="L771" t="str">
        <f t="shared" si="11"/>
        <v>Middle Age</v>
      </c>
      <c r="M771">
        <v>40</v>
      </c>
      <c r="N771" t="s">
        <v>18</v>
      </c>
    </row>
    <row r="772" spans="1:14" x14ac:dyDescent="0.25">
      <c r="A772">
        <v>17699</v>
      </c>
      <c r="B772" t="s">
        <v>36</v>
      </c>
      <c r="C772" t="s">
        <v>38</v>
      </c>
      <c r="D772" s="3">
        <v>60000</v>
      </c>
      <c r="E772">
        <v>1</v>
      </c>
      <c r="F772" t="s">
        <v>31</v>
      </c>
      <c r="G772" t="s">
        <v>14</v>
      </c>
      <c r="H772" t="s">
        <v>18</v>
      </c>
      <c r="I772">
        <v>0</v>
      </c>
      <c r="J772" t="s">
        <v>16</v>
      </c>
      <c r="K772" t="s">
        <v>32</v>
      </c>
      <c r="L772" t="str">
        <f t="shared" ref="L772:L835" si="12">IF(M772&gt;55,"Old",IF(M772&gt;=31,"Middle Age",IF(M772&lt;31,"Adolescent","Invalid")))</f>
        <v>Middle Age</v>
      </c>
      <c r="M772">
        <v>55</v>
      </c>
      <c r="N772" t="s">
        <v>18</v>
      </c>
    </row>
    <row r="773" spans="1:14" x14ac:dyDescent="0.25">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2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25">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25">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25">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25">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25">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36</v>
      </c>
      <c r="C782" t="s">
        <v>39</v>
      </c>
      <c r="D782" s="3">
        <v>60000</v>
      </c>
      <c r="E782">
        <v>2</v>
      </c>
      <c r="F782" t="s">
        <v>19</v>
      </c>
      <c r="G782" t="s">
        <v>21</v>
      </c>
      <c r="H782" t="s">
        <v>15</v>
      </c>
      <c r="I782">
        <v>1</v>
      </c>
      <c r="J782" t="s">
        <v>49</v>
      </c>
      <c r="K782" t="s">
        <v>32</v>
      </c>
      <c r="L782" t="str">
        <f t="shared" si="12"/>
        <v>Middle Age</v>
      </c>
      <c r="M782">
        <v>55</v>
      </c>
      <c r="N782" t="s">
        <v>18</v>
      </c>
    </row>
    <row r="783" spans="1:14" x14ac:dyDescent="0.25">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25">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25">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25">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2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25">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25">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25">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25">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25">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25">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37</v>
      </c>
      <c r="C799" t="s">
        <v>38</v>
      </c>
      <c r="D799" s="3">
        <v>60000</v>
      </c>
      <c r="E799">
        <v>0</v>
      </c>
      <c r="F799" t="s">
        <v>19</v>
      </c>
      <c r="G799" t="s">
        <v>14</v>
      </c>
      <c r="H799" t="s">
        <v>15</v>
      </c>
      <c r="I799">
        <v>1</v>
      </c>
      <c r="J799" t="s">
        <v>23</v>
      </c>
      <c r="K799" t="s">
        <v>32</v>
      </c>
      <c r="L799" t="str">
        <f t="shared" si="12"/>
        <v>Adolescent</v>
      </c>
      <c r="M799">
        <v>27</v>
      </c>
      <c r="N799" t="s">
        <v>15</v>
      </c>
    </row>
    <row r="800" spans="1:14" x14ac:dyDescent="0.25">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25">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25">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36</v>
      </c>
      <c r="C804" t="s">
        <v>38</v>
      </c>
      <c r="D804" s="3">
        <v>40000</v>
      </c>
      <c r="E804">
        <v>0</v>
      </c>
      <c r="F804" t="s">
        <v>19</v>
      </c>
      <c r="G804" t="s">
        <v>14</v>
      </c>
      <c r="H804" t="s">
        <v>15</v>
      </c>
      <c r="I804">
        <v>1</v>
      </c>
      <c r="J804" t="s">
        <v>23</v>
      </c>
      <c r="K804" t="s">
        <v>32</v>
      </c>
      <c r="L804" t="str">
        <f t="shared" si="12"/>
        <v>Adolescent</v>
      </c>
      <c r="M804">
        <v>27</v>
      </c>
      <c r="N804" t="s">
        <v>18</v>
      </c>
    </row>
    <row r="805" spans="1:14" x14ac:dyDescent="0.25">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25">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25">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25">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25">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25">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25">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25">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25">
      <c r="A817">
        <v>23333</v>
      </c>
      <c r="B817" t="s">
        <v>36</v>
      </c>
      <c r="C817" t="s">
        <v>38</v>
      </c>
      <c r="D817" s="3">
        <v>40000</v>
      </c>
      <c r="E817">
        <v>0</v>
      </c>
      <c r="F817" t="s">
        <v>19</v>
      </c>
      <c r="G817" t="s">
        <v>14</v>
      </c>
      <c r="H817" t="s">
        <v>18</v>
      </c>
      <c r="I817">
        <v>2</v>
      </c>
      <c r="J817" t="s">
        <v>26</v>
      </c>
      <c r="K817" t="s">
        <v>32</v>
      </c>
      <c r="L817" t="str">
        <f t="shared" si="12"/>
        <v>Adolescent</v>
      </c>
      <c r="M817">
        <v>30</v>
      </c>
      <c r="N817" t="s">
        <v>18</v>
      </c>
    </row>
    <row r="818" spans="1:14" x14ac:dyDescent="0.2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2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36</v>
      </c>
      <c r="C820" t="s">
        <v>38</v>
      </c>
      <c r="D820" s="3">
        <v>40000</v>
      </c>
      <c r="E820">
        <v>0</v>
      </c>
      <c r="F820" t="s">
        <v>19</v>
      </c>
      <c r="G820" t="s">
        <v>14</v>
      </c>
      <c r="H820" t="s">
        <v>15</v>
      </c>
      <c r="I820">
        <v>1</v>
      </c>
      <c r="J820" t="s">
        <v>23</v>
      </c>
      <c r="K820" t="s">
        <v>32</v>
      </c>
      <c r="L820" t="str">
        <f t="shared" si="12"/>
        <v>Adolescent</v>
      </c>
      <c r="M820">
        <v>30</v>
      </c>
      <c r="N820" t="s">
        <v>18</v>
      </c>
    </row>
    <row r="821" spans="1:14" x14ac:dyDescent="0.25">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25">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25">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37</v>
      </c>
      <c r="C830" t="s">
        <v>39</v>
      </c>
      <c r="D830" s="3">
        <v>40000</v>
      </c>
      <c r="E830">
        <v>0</v>
      </c>
      <c r="F830" t="s">
        <v>29</v>
      </c>
      <c r="G830" t="s">
        <v>20</v>
      </c>
      <c r="H830" t="s">
        <v>15</v>
      </c>
      <c r="I830">
        <v>2</v>
      </c>
      <c r="J830" t="s">
        <v>23</v>
      </c>
      <c r="K830" t="s">
        <v>32</v>
      </c>
      <c r="L830" t="str">
        <f t="shared" si="12"/>
        <v>Adolescent</v>
      </c>
      <c r="M830">
        <v>26</v>
      </c>
      <c r="N830" t="s">
        <v>18</v>
      </c>
    </row>
    <row r="831" spans="1:14" x14ac:dyDescent="0.25">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25">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2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37</v>
      </c>
      <c r="C835" t="s">
        <v>39</v>
      </c>
      <c r="D835" s="3">
        <v>70000</v>
      </c>
      <c r="E835">
        <v>0</v>
      </c>
      <c r="F835" t="s">
        <v>13</v>
      </c>
      <c r="G835" t="s">
        <v>21</v>
      </c>
      <c r="H835" t="s">
        <v>18</v>
      </c>
      <c r="I835">
        <v>1</v>
      </c>
      <c r="J835" t="s">
        <v>16</v>
      </c>
      <c r="K835" t="s">
        <v>32</v>
      </c>
      <c r="L835" t="str">
        <f t="shared" si="12"/>
        <v>Middle Age</v>
      </c>
      <c r="M835">
        <v>37</v>
      </c>
      <c r="N835" t="s">
        <v>15</v>
      </c>
    </row>
    <row r="836" spans="1:14" x14ac:dyDescent="0.25">
      <c r="A836">
        <v>19889</v>
      </c>
      <c r="B836" t="s">
        <v>37</v>
      </c>
      <c r="C836" t="s">
        <v>39</v>
      </c>
      <c r="D836" s="3">
        <v>70000</v>
      </c>
      <c r="E836">
        <v>2</v>
      </c>
      <c r="F836" t="s">
        <v>29</v>
      </c>
      <c r="G836" t="s">
        <v>14</v>
      </c>
      <c r="H836" t="s">
        <v>18</v>
      </c>
      <c r="I836">
        <v>2</v>
      </c>
      <c r="J836" t="s">
        <v>22</v>
      </c>
      <c r="K836" t="s">
        <v>32</v>
      </c>
      <c r="L836" t="str">
        <f t="shared" ref="L836:L899" si="13">IF(M836&gt;55,"Old",IF(M836&gt;=31,"Middle Age",IF(M836&lt;31,"Adolescent","Invalid")))</f>
        <v>Middle Age</v>
      </c>
      <c r="M836">
        <v>54</v>
      </c>
      <c r="N836" t="s">
        <v>15</v>
      </c>
    </row>
    <row r="837" spans="1:14" x14ac:dyDescent="0.25">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36</v>
      </c>
      <c r="C838" t="s">
        <v>39</v>
      </c>
      <c r="D838" s="3">
        <v>40000</v>
      </c>
      <c r="E838">
        <v>0</v>
      </c>
      <c r="F838" t="s">
        <v>19</v>
      </c>
      <c r="G838" t="s">
        <v>14</v>
      </c>
      <c r="H838" t="s">
        <v>15</v>
      </c>
      <c r="I838">
        <v>2</v>
      </c>
      <c r="J838" t="s">
        <v>23</v>
      </c>
      <c r="K838" t="s">
        <v>32</v>
      </c>
      <c r="L838" t="str">
        <f t="shared" si="13"/>
        <v>Adolescent</v>
      </c>
      <c r="M838">
        <v>28</v>
      </c>
      <c r="N838" t="s">
        <v>18</v>
      </c>
    </row>
    <row r="839" spans="1:14" x14ac:dyDescent="0.25">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25">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25">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25">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25">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25">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25">
      <c r="A849">
        <v>17482</v>
      </c>
      <c r="B849" t="s">
        <v>37</v>
      </c>
      <c r="C849" t="s">
        <v>39</v>
      </c>
      <c r="D849" s="3">
        <v>40000</v>
      </c>
      <c r="E849">
        <v>0</v>
      </c>
      <c r="F849" t="s">
        <v>29</v>
      </c>
      <c r="G849" t="s">
        <v>20</v>
      </c>
      <c r="H849" t="s">
        <v>15</v>
      </c>
      <c r="I849">
        <v>2</v>
      </c>
      <c r="J849" t="s">
        <v>23</v>
      </c>
      <c r="K849" t="s">
        <v>32</v>
      </c>
      <c r="L849" t="str">
        <f t="shared" si="13"/>
        <v>Adolescent</v>
      </c>
      <c r="M849">
        <v>29</v>
      </c>
      <c r="N849" t="s">
        <v>18</v>
      </c>
    </row>
    <row r="850" spans="1:14" x14ac:dyDescent="0.25">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25">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25">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25">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25">
      <c r="A858">
        <v>29052</v>
      </c>
      <c r="B858" t="s">
        <v>37</v>
      </c>
      <c r="C858" t="s">
        <v>38</v>
      </c>
      <c r="D858" s="3">
        <v>40000</v>
      </c>
      <c r="E858">
        <v>0</v>
      </c>
      <c r="F858" t="s">
        <v>19</v>
      </c>
      <c r="G858" t="s">
        <v>14</v>
      </c>
      <c r="H858" t="s">
        <v>15</v>
      </c>
      <c r="I858">
        <v>1</v>
      </c>
      <c r="J858" t="s">
        <v>23</v>
      </c>
      <c r="K858" t="s">
        <v>32</v>
      </c>
      <c r="L858" t="str">
        <f t="shared" si="13"/>
        <v>Adolescent</v>
      </c>
      <c r="M858">
        <v>27</v>
      </c>
      <c r="N858" t="s">
        <v>18</v>
      </c>
    </row>
    <row r="859" spans="1:14" x14ac:dyDescent="0.2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25">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25">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25">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25">
      <c r="A868">
        <v>28052</v>
      </c>
      <c r="B868" t="s">
        <v>36</v>
      </c>
      <c r="C868" t="s">
        <v>38</v>
      </c>
      <c r="D868" s="3">
        <v>60000</v>
      </c>
      <c r="E868">
        <v>2</v>
      </c>
      <c r="F868" t="s">
        <v>27</v>
      </c>
      <c r="G868" t="s">
        <v>21</v>
      </c>
      <c r="H868" t="s">
        <v>15</v>
      </c>
      <c r="I868">
        <v>2</v>
      </c>
      <c r="J868" t="s">
        <v>49</v>
      </c>
      <c r="K868" t="s">
        <v>32</v>
      </c>
      <c r="L868" t="str">
        <f t="shared" si="13"/>
        <v>Middle Age</v>
      </c>
      <c r="M868">
        <v>55</v>
      </c>
      <c r="N868" t="s">
        <v>18</v>
      </c>
    </row>
    <row r="869" spans="1:14" x14ac:dyDescent="0.25">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25">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36</v>
      </c>
      <c r="C873" t="s">
        <v>38</v>
      </c>
      <c r="D873" s="3">
        <v>60000</v>
      </c>
      <c r="E873">
        <v>2</v>
      </c>
      <c r="F873" t="s">
        <v>27</v>
      </c>
      <c r="G873" t="s">
        <v>21</v>
      </c>
      <c r="H873" t="s">
        <v>15</v>
      </c>
      <c r="I873">
        <v>2</v>
      </c>
      <c r="J873" t="s">
        <v>49</v>
      </c>
      <c r="K873" t="s">
        <v>32</v>
      </c>
      <c r="L873" t="str">
        <f t="shared" si="13"/>
        <v>Middle Age</v>
      </c>
      <c r="M873">
        <v>55</v>
      </c>
      <c r="N873" t="s">
        <v>18</v>
      </c>
    </row>
    <row r="874" spans="1:14" x14ac:dyDescent="0.25">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37</v>
      </c>
      <c r="C878" t="s">
        <v>38</v>
      </c>
      <c r="D878" s="3">
        <v>30000</v>
      </c>
      <c r="E878">
        <v>0</v>
      </c>
      <c r="F878" t="s">
        <v>29</v>
      </c>
      <c r="G878" t="s">
        <v>20</v>
      </c>
      <c r="H878" t="s">
        <v>18</v>
      </c>
      <c r="I878">
        <v>2</v>
      </c>
      <c r="J878" t="s">
        <v>16</v>
      </c>
      <c r="K878" t="s">
        <v>32</v>
      </c>
      <c r="L878" t="str">
        <f t="shared" si="13"/>
        <v>Adolescent</v>
      </c>
      <c r="M878">
        <v>26</v>
      </c>
      <c r="N878" t="s">
        <v>18</v>
      </c>
    </row>
    <row r="879" spans="1:14" x14ac:dyDescent="0.25">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25">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25">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2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25">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25">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25">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25">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2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2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36</v>
      </c>
      <c r="C899" t="s">
        <v>38</v>
      </c>
      <c r="D899" s="3">
        <v>30000</v>
      </c>
      <c r="E899">
        <v>0</v>
      </c>
      <c r="F899" t="s">
        <v>29</v>
      </c>
      <c r="G899" t="s">
        <v>20</v>
      </c>
      <c r="H899" t="s">
        <v>18</v>
      </c>
      <c r="I899">
        <v>2</v>
      </c>
      <c r="J899" t="s">
        <v>16</v>
      </c>
      <c r="K899" t="s">
        <v>32</v>
      </c>
      <c r="L899" t="str">
        <f t="shared" si="13"/>
        <v>Adolescent</v>
      </c>
      <c r="M899">
        <v>28</v>
      </c>
      <c r="N899" t="s">
        <v>18</v>
      </c>
    </row>
    <row r="900" spans="1:14" x14ac:dyDescent="0.25">
      <c r="A900">
        <v>18066</v>
      </c>
      <c r="B900" t="s">
        <v>37</v>
      </c>
      <c r="C900" t="s">
        <v>38</v>
      </c>
      <c r="D900" s="3">
        <v>70000</v>
      </c>
      <c r="E900">
        <v>5</v>
      </c>
      <c r="F900" t="s">
        <v>13</v>
      </c>
      <c r="G900" t="s">
        <v>28</v>
      </c>
      <c r="H900" t="s">
        <v>15</v>
      </c>
      <c r="I900">
        <v>3</v>
      </c>
      <c r="J900" t="s">
        <v>49</v>
      </c>
      <c r="K900" t="s">
        <v>32</v>
      </c>
      <c r="L900" t="str">
        <f t="shared" ref="L900:L963" si="14">IF(M900&gt;55,"Old",IF(M900&gt;=31,"Middle Age",IF(M900&lt;31,"Adolescent","Invalid")))</f>
        <v>Old</v>
      </c>
      <c r="M900">
        <v>60</v>
      </c>
      <c r="N900" t="s">
        <v>15</v>
      </c>
    </row>
    <row r="901" spans="1:14" x14ac:dyDescent="0.25">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25">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25">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25">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25">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25">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25">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25">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25">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25">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25">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25">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25">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25">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2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25">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25">
      <c r="A935">
        <v>11941</v>
      </c>
      <c r="B935" t="s">
        <v>37</v>
      </c>
      <c r="C935" t="s">
        <v>38</v>
      </c>
      <c r="D935" s="3">
        <v>60000</v>
      </c>
      <c r="E935">
        <v>0</v>
      </c>
      <c r="F935" t="s">
        <v>19</v>
      </c>
      <c r="G935" t="s">
        <v>14</v>
      </c>
      <c r="H935" t="s">
        <v>15</v>
      </c>
      <c r="I935">
        <v>0</v>
      </c>
      <c r="J935" t="s">
        <v>23</v>
      </c>
      <c r="K935" t="s">
        <v>32</v>
      </c>
      <c r="L935" t="str">
        <f t="shared" si="14"/>
        <v>Adolescent</v>
      </c>
      <c r="M935">
        <v>29</v>
      </c>
      <c r="N935" t="s">
        <v>18</v>
      </c>
    </row>
    <row r="936" spans="1:14" x14ac:dyDescent="0.25">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25">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25">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25">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25">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2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25">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25">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25">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25">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25">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2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25">
      <c r="A955">
        <v>17654</v>
      </c>
      <c r="B955" t="s">
        <v>37</v>
      </c>
      <c r="C955" t="s">
        <v>39</v>
      </c>
      <c r="D955" s="3">
        <v>40000</v>
      </c>
      <c r="E955">
        <v>3</v>
      </c>
      <c r="F955" t="s">
        <v>19</v>
      </c>
      <c r="G955" t="s">
        <v>20</v>
      </c>
      <c r="H955" t="s">
        <v>15</v>
      </c>
      <c r="I955">
        <v>1</v>
      </c>
      <c r="J955" t="s">
        <v>26</v>
      </c>
      <c r="K955" t="s">
        <v>32</v>
      </c>
      <c r="L955" t="str">
        <f t="shared" si="14"/>
        <v>Adolescent</v>
      </c>
      <c r="M955">
        <v>30</v>
      </c>
      <c r="N955" t="s">
        <v>15</v>
      </c>
    </row>
    <row r="956" spans="1:14" x14ac:dyDescent="0.25">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2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2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36</v>
      </c>
      <c r="C959" t="s">
        <v>39</v>
      </c>
      <c r="D959" s="3">
        <v>60000</v>
      </c>
      <c r="E959">
        <v>0</v>
      </c>
      <c r="F959" t="s">
        <v>19</v>
      </c>
      <c r="G959" t="s">
        <v>21</v>
      </c>
      <c r="H959" t="s">
        <v>15</v>
      </c>
      <c r="I959">
        <v>2</v>
      </c>
      <c r="J959" t="s">
        <v>23</v>
      </c>
      <c r="K959" t="s">
        <v>32</v>
      </c>
      <c r="L959" t="str">
        <f t="shared" si="14"/>
        <v>Adolescent</v>
      </c>
      <c r="M959">
        <v>30</v>
      </c>
      <c r="N959" t="s">
        <v>18</v>
      </c>
    </row>
    <row r="960" spans="1:14" x14ac:dyDescent="0.25">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36</v>
      </c>
      <c r="C963" t="s">
        <v>39</v>
      </c>
      <c r="D963" s="3">
        <v>120000</v>
      </c>
      <c r="E963">
        <v>2</v>
      </c>
      <c r="F963" t="s">
        <v>13</v>
      </c>
      <c r="G963" t="s">
        <v>28</v>
      </c>
      <c r="H963" t="s">
        <v>15</v>
      </c>
      <c r="I963">
        <v>3</v>
      </c>
      <c r="J963" t="s">
        <v>23</v>
      </c>
      <c r="K963" t="s">
        <v>32</v>
      </c>
      <c r="L963" t="str">
        <f t="shared" si="14"/>
        <v>Old</v>
      </c>
      <c r="M963">
        <v>62</v>
      </c>
      <c r="N963" t="s">
        <v>18</v>
      </c>
    </row>
    <row r="964" spans="1:14" x14ac:dyDescent="0.25">
      <c r="A964">
        <v>16813</v>
      </c>
      <c r="B964" t="s">
        <v>36</v>
      </c>
      <c r="C964" t="s">
        <v>38</v>
      </c>
      <c r="D964" s="3">
        <v>60000</v>
      </c>
      <c r="E964">
        <v>2</v>
      </c>
      <c r="F964" t="s">
        <v>19</v>
      </c>
      <c r="G964" t="s">
        <v>21</v>
      </c>
      <c r="H964" t="s">
        <v>15</v>
      </c>
      <c r="I964">
        <v>2</v>
      </c>
      <c r="J964" t="s">
        <v>49</v>
      </c>
      <c r="K964" t="s">
        <v>32</v>
      </c>
      <c r="L964" t="str">
        <f t="shared" ref="L964:L1001" si="15">IF(M964&gt;55,"Old",IF(M964&gt;=31,"Middle Age",IF(M964&lt;31,"Adolescent","Invalid")))</f>
        <v>Middle Age</v>
      </c>
      <c r="M964">
        <v>55</v>
      </c>
      <c r="N964" t="s">
        <v>18</v>
      </c>
    </row>
    <row r="965" spans="1:14" x14ac:dyDescent="0.2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25">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25">
      <c r="A970">
        <v>18329</v>
      </c>
      <c r="B970" t="s">
        <v>37</v>
      </c>
      <c r="C970" t="s">
        <v>38</v>
      </c>
      <c r="D970" s="3">
        <v>30000</v>
      </c>
      <c r="E970">
        <v>0</v>
      </c>
      <c r="F970" t="s">
        <v>29</v>
      </c>
      <c r="G970" t="s">
        <v>20</v>
      </c>
      <c r="H970" t="s">
        <v>18</v>
      </c>
      <c r="I970">
        <v>2</v>
      </c>
      <c r="J970" t="s">
        <v>23</v>
      </c>
      <c r="K970" t="s">
        <v>32</v>
      </c>
      <c r="L970" t="str">
        <f t="shared" si="15"/>
        <v>Adolescent</v>
      </c>
      <c r="M970">
        <v>27</v>
      </c>
      <c r="N970" t="s">
        <v>18</v>
      </c>
    </row>
    <row r="971" spans="1:14" x14ac:dyDescent="0.25">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25">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25">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25">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25">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25">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25">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25">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25">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25">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25">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25">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25">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25">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25">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25">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25">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25">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25">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sheetData>
  <autoFilter ref="A1:N1001" xr:uid="{C9A50753-B078-4D5C-AD71-14E783443A2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D241-50D4-4437-B572-2C88C6AC21C4}">
  <dimension ref="A2:D107"/>
  <sheetViews>
    <sheetView topLeftCell="A40" workbookViewId="0">
      <selection activeCell="B32" sqref="B3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5" t="s">
        <v>43</v>
      </c>
      <c r="B2" s="5" t="s">
        <v>44</v>
      </c>
    </row>
    <row r="3" spans="1:4" x14ac:dyDescent="0.25">
      <c r="A3" s="5" t="s">
        <v>41</v>
      </c>
      <c r="B3" t="s">
        <v>18</v>
      </c>
      <c r="C3" t="s">
        <v>15</v>
      </c>
      <c r="D3" t="s">
        <v>42</v>
      </c>
    </row>
    <row r="4" spans="1:4" x14ac:dyDescent="0.25">
      <c r="A4" s="6" t="s">
        <v>39</v>
      </c>
      <c r="B4" s="7">
        <v>53440</v>
      </c>
      <c r="C4" s="7">
        <v>55774.058577405856</v>
      </c>
      <c r="D4" s="7">
        <v>54580.777096114522</v>
      </c>
    </row>
    <row r="5" spans="1:4" x14ac:dyDescent="0.25">
      <c r="A5" s="6" t="s">
        <v>38</v>
      </c>
      <c r="B5" s="7">
        <v>56208.178438661707</v>
      </c>
      <c r="C5" s="7">
        <v>60123.966942148763</v>
      </c>
      <c r="D5" s="7">
        <v>58062.62230919765</v>
      </c>
    </row>
    <row r="6" spans="1:4" x14ac:dyDescent="0.25">
      <c r="A6" s="6" t="s">
        <v>42</v>
      </c>
      <c r="B6" s="7">
        <v>54874.759152215796</v>
      </c>
      <c r="C6" s="7">
        <v>57962.577962577961</v>
      </c>
      <c r="D6" s="7">
        <v>56360</v>
      </c>
    </row>
    <row r="18" spans="1:4" x14ac:dyDescent="0.25">
      <c r="A18" s="5" t="s">
        <v>45</v>
      </c>
      <c r="B18" s="5" t="s">
        <v>44</v>
      </c>
    </row>
    <row r="19" spans="1:4" x14ac:dyDescent="0.25">
      <c r="A19" s="5" t="s">
        <v>41</v>
      </c>
      <c r="B19" t="s">
        <v>18</v>
      </c>
      <c r="C19" t="s">
        <v>15</v>
      </c>
      <c r="D19" t="s">
        <v>42</v>
      </c>
    </row>
    <row r="20" spans="1:4" x14ac:dyDescent="0.25">
      <c r="A20" s="6" t="s">
        <v>16</v>
      </c>
      <c r="B20" s="4">
        <v>166</v>
      </c>
      <c r="C20" s="4">
        <v>200</v>
      </c>
      <c r="D20" s="4">
        <v>366</v>
      </c>
    </row>
    <row r="21" spans="1:4" x14ac:dyDescent="0.25">
      <c r="A21" s="6" t="s">
        <v>26</v>
      </c>
      <c r="B21" s="4">
        <v>92</v>
      </c>
      <c r="C21" s="4">
        <v>77</v>
      </c>
      <c r="D21" s="4">
        <v>169</v>
      </c>
    </row>
    <row r="22" spans="1:4" x14ac:dyDescent="0.25">
      <c r="A22" s="6" t="s">
        <v>22</v>
      </c>
      <c r="B22" s="4">
        <v>67</v>
      </c>
      <c r="C22" s="4">
        <v>95</v>
      </c>
      <c r="D22" s="4">
        <v>162</v>
      </c>
    </row>
    <row r="23" spans="1:4" x14ac:dyDescent="0.25">
      <c r="A23" s="6" t="s">
        <v>23</v>
      </c>
      <c r="B23" s="4">
        <v>116</v>
      </c>
      <c r="C23" s="4">
        <v>76</v>
      </c>
      <c r="D23" s="4">
        <v>192</v>
      </c>
    </row>
    <row r="24" spans="1:4" x14ac:dyDescent="0.25">
      <c r="A24" s="6" t="s">
        <v>49</v>
      </c>
      <c r="B24" s="4">
        <v>78</v>
      </c>
      <c r="C24" s="4">
        <v>33</v>
      </c>
      <c r="D24" s="4">
        <v>111</v>
      </c>
    </row>
    <row r="25" spans="1:4" x14ac:dyDescent="0.25">
      <c r="A25" s="6" t="s">
        <v>42</v>
      </c>
      <c r="B25" s="4">
        <v>519</v>
      </c>
      <c r="C25" s="4">
        <v>481</v>
      </c>
      <c r="D25" s="4">
        <v>1000</v>
      </c>
    </row>
    <row r="36" spans="1:4" x14ac:dyDescent="0.25">
      <c r="A36" s="5" t="s">
        <v>45</v>
      </c>
      <c r="B36" s="5" t="s">
        <v>44</v>
      </c>
    </row>
    <row r="37" spans="1:4" x14ac:dyDescent="0.25">
      <c r="A37" s="5" t="s">
        <v>41</v>
      </c>
      <c r="B37" t="s">
        <v>18</v>
      </c>
      <c r="C37" t="s">
        <v>15</v>
      </c>
      <c r="D37" t="s">
        <v>42</v>
      </c>
    </row>
    <row r="38" spans="1:4" x14ac:dyDescent="0.25">
      <c r="A38" s="6" t="s">
        <v>48</v>
      </c>
      <c r="B38" s="4">
        <v>71</v>
      </c>
      <c r="C38" s="4">
        <v>39</v>
      </c>
      <c r="D38" s="4">
        <v>110</v>
      </c>
    </row>
    <row r="39" spans="1:4" x14ac:dyDescent="0.25">
      <c r="A39" s="6" t="s">
        <v>46</v>
      </c>
      <c r="B39" s="4">
        <v>331</v>
      </c>
      <c r="C39" s="4">
        <v>388</v>
      </c>
      <c r="D39" s="4">
        <v>719</v>
      </c>
    </row>
    <row r="40" spans="1:4" x14ac:dyDescent="0.25">
      <c r="A40" s="6" t="s">
        <v>47</v>
      </c>
      <c r="B40" s="4">
        <v>117</v>
      </c>
      <c r="C40" s="4">
        <v>54</v>
      </c>
      <c r="D40" s="4">
        <v>171</v>
      </c>
    </row>
    <row r="41" spans="1:4" x14ac:dyDescent="0.25">
      <c r="A41" s="6" t="s">
        <v>42</v>
      </c>
      <c r="B41" s="4">
        <v>519</v>
      </c>
      <c r="C41" s="4">
        <v>481</v>
      </c>
      <c r="D41" s="4">
        <v>1000</v>
      </c>
    </row>
    <row r="52" spans="1:4" x14ac:dyDescent="0.25">
      <c r="A52" s="5" t="s">
        <v>45</v>
      </c>
      <c r="B52" s="5" t="s">
        <v>44</v>
      </c>
    </row>
    <row r="53" spans="1:4" x14ac:dyDescent="0.25">
      <c r="A53" s="5" t="s">
        <v>41</v>
      </c>
      <c r="B53" t="s">
        <v>18</v>
      </c>
      <c r="C53" t="s">
        <v>15</v>
      </c>
      <c r="D53" t="s">
        <v>42</v>
      </c>
    </row>
    <row r="54" spans="1:4" x14ac:dyDescent="0.25">
      <c r="A54" s="6">
        <v>25</v>
      </c>
      <c r="B54" s="4">
        <v>2</v>
      </c>
      <c r="C54" s="4">
        <v>4</v>
      </c>
      <c r="D54" s="4">
        <v>6</v>
      </c>
    </row>
    <row r="55" spans="1:4" x14ac:dyDescent="0.25">
      <c r="A55" s="6">
        <v>26</v>
      </c>
      <c r="B55" s="4">
        <v>8</v>
      </c>
      <c r="C55" s="4">
        <v>8</v>
      </c>
      <c r="D55" s="4">
        <v>16</v>
      </c>
    </row>
    <row r="56" spans="1:4" x14ac:dyDescent="0.25">
      <c r="A56" s="6">
        <v>27</v>
      </c>
      <c r="B56" s="4">
        <v>15</v>
      </c>
      <c r="C56" s="4">
        <v>8</v>
      </c>
      <c r="D56" s="4">
        <v>23</v>
      </c>
    </row>
    <row r="57" spans="1:4" x14ac:dyDescent="0.25">
      <c r="A57" s="6">
        <v>28</v>
      </c>
      <c r="B57" s="4">
        <v>12</v>
      </c>
      <c r="C57" s="4">
        <v>10</v>
      </c>
      <c r="D57" s="4">
        <v>22</v>
      </c>
    </row>
    <row r="58" spans="1:4" x14ac:dyDescent="0.25">
      <c r="A58" s="6">
        <v>29</v>
      </c>
      <c r="B58" s="4">
        <v>11</v>
      </c>
      <c r="C58" s="4">
        <v>5</v>
      </c>
      <c r="D58" s="4">
        <v>16</v>
      </c>
    </row>
    <row r="59" spans="1:4" x14ac:dyDescent="0.25">
      <c r="A59" s="6">
        <v>30</v>
      </c>
      <c r="B59" s="4">
        <v>23</v>
      </c>
      <c r="C59" s="4">
        <v>4</v>
      </c>
      <c r="D59" s="4">
        <v>27</v>
      </c>
    </row>
    <row r="60" spans="1:4" x14ac:dyDescent="0.25">
      <c r="A60" s="6">
        <v>31</v>
      </c>
      <c r="B60" s="4">
        <v>17</v>
      </c>
      <c r="C60" s="4">
        <v>8</v>
      </c>
      <c r="D60" s="4">
        <v>25</v>
      </c>
    </row>
    <row r="61" spans="1:4" x14ac:dyDescent="0.25">
      <c r="A61" s="6">
        <v>32</v>
      </c>
      <c r="B61" s="4">
        <v>19</v>
      </c>
      <c r="C61" s="4">
        <v>14</v>
      </c>
      <c r="D61" s="4">
        <v>33</v>
      </c>
    </row>
    <row r="62" spans="1:4" x14ac:dyDescent="0.25">
      <c r="A62" s="6">
        <v>33</v>
      </c>
      <c r="B62" s="4">
        <v>8</v>
      </c>
      <c r="C62" s="4">
        <v>13</v>
      </c>
      <c r="D62" s="4">
        <v>21</v>
      </c>
    </row>
    <row r="63" spans="1:4" x14ac:dyDescent="0.25">
      <c r="A63" s="6">
        <v>34</v>
      </c>
      <c r="B63" s="4">
        <v>12</v>
      </c>
      <c r="C63" s="4">
        <v>19</v>
      </c>
      <c r="D63" s="4">
        <v>31</v>
      </c>
    </row>
    <row r="64" spans="1:4" x14ac:dyDescent="0.25">
      <c r="A64" s="6">
        <v>35</v>
      </c>
      <c r="B64" s="4">
        <v>14</v>
      </c>
      <c r="C64" s="4">
        <v>22</v>
      </c>
      <c r="D64" s="4">
        <v>36</v>
      </c>
    </row>
    <row r="65" spans="1:4" x14ac:dyDescent="0.25">
      <c r="A65" s="6">
        <v>36</v>
      </c>
      <c r="B65" s="4">
        <v>7</v>
      </c>
      <c r="C65" s="4">
        <v>30</v>
      </c>
      <c r="D65" s="4">
        <v>37</v>
      </c>
    </row>
    <row r="66" spans="1:4" x14ac:dyDescent="0.25">
      <c r="A66" s="6">
        <v>37</v>
      </c>
      <c r="B66" s="4">
        <v>4</v>
      </c>
      <c r="C66" s="4">
        <v>28</v>
      </c>
      <c r="D66" s="4">
        <v>32</v>
      </c>
    </row>
    <row r="67" spans="1:4" x14ac:dyDescent="0.25">
      <c r="A67" s="6">
        <v>38</v>
      </c>
      <c r="B67" s="4">
        <v>8</v>
      </c>
      <c r="C67" s="4">
        <v>29</v>
      </c>
      <c r="D67" s="4">
        <v>37</v>
      </c>
    </row>
    <row r="68" spans="1:4" x14ac:dyDescent="0.25">
      <c r="A68" s="6">
        <v>39</v>
      </c>
      <c r="B68" s="4">
        <v>10</v>
      </c>
      <c r="C68" s="4">
        <v>12</v>
      </c>
      <c r="D68" s="4">
        <v>22</v>
      </c>
    </row>
    <row r="69" spans="1:4" x14ac:dyDescent="0.25">
      <c r="A69" s="6">
        <v>40</v>
      </c>
      <c r="B69" s="4">
        <v>24</v>
      </c>
      <c r="C69" s="4">
        <v>18</v>
      </c>
      <c r="D69" s="4">
        <v>42</v>
      </c>
    </row>
    <row r="70" spans="1:4" x14ac:dyDescent="0.25">
      <c r="A70" s="6">
        <v>41</v>
      </c>
      <c r="B70" s="4">
        <v>13</v>
      </c>
      <c r="C70" s="4">
        <v>15</v>
      </c>
      <c r="D70" s="4">
        <v>28</v>
      </c>
    </row>
    <row r="71" spans="1:4" x14ac:dyDescent="0.25">
      <c r="A71" s="6">
        <v>42</v>
      </c>
      <c r="B71" s="4">
        <v>22</v>
      </c>
      <c r="C71" s="4">
        <v>12</v>
      </c>
      <c r="D71" s="4">
        <v>34</v>
      </c>
    </row>
    <row r="72" spans="1:4" x14ac:dyDescent="0.25">
      <c r="A72" s="6">
        <v>43</v>
      </c>
      <c r="B72" s="4">
        <v>17</v>
      </c>
      <c r="C72" s="4">
        <v>19</v>
      </c>
      <c r="D72" s="4">
        <v>36</v>
      </c>
    </row>
    <row r="73" spans="1:4" x14ac:dyDescent="0.25">
      <c r="A73" s="6">
        <v>44</v>
      </c>
      <c r="B73" s="4">
        <v>15</v>
      </c>
      <c r="C73" s="4">
        <v>12</v>
      </c>
      <c r="D73" s="4">
        <v>27</v>
      </c>
    </row>
    <row r="74" spans="1:4" x14ac:dyDescent="0.25">
      <c r="A74" s="6">
        <v>45</v>
      </c>
      <c r="B74" s="4">
        <v>18</v>
      </c>
      <c r="C74" s="4">
        <v>13</v>
      </c>
      <c r="D74" s="4">
        <v>31</v>
      </c>
    </row>
    <row r="75" spans="1:4" x14ac:dyDescent="0.25">
      <c r="A75" s="6">
        <v>46</v>
      </c>
      <c r="B75" s="4">
        <v>12</v>
      </c>
      <c r="C75" s="4">
        <v>15</v>
      </c>
      <c r="D75" s="4">
        <v>27</v>
      </c>
    </row>
    <row r="76" spans="1:4" x14ac:dyDescent="0.25">
      <c r="A76" s="6">
        <v>47</v>
      </c>
      <c r="B76" s="4">
        <v>19</v>
      </c>
      <c r="C76" s="4">
        <v>20</v>
      </c>
      <c r="D76" s="4">
        <v>39</v>
      </c>
    </row>
    <row r="77" spans="1:4" x14ac:dyDescent="0.25">
      <c r="A77" s="6">
        <v>48</v>
      </c>
      <c r="B77" s="4">
        <v>16</v>
      </c>
      <c r="C77" s="4">
        <v>13</v>
      </c>
      <c r="D77" s="4">
        <v>29</v>
      </c>
    </row>
    <row r="78" spans="1:4" x14ac:dyDescent="0.25">
      <c r="A78" s="6">
        <v>49</v>
      </c>
      <c r="B78" s="4">
        <v>15</v>
      </c>
      <c r="C78" s="4">
        <v>8</v>
      </c>
      <c r="D78" s="4">
        <v>23</v>
      </c>
    </row>
    <row r="79" spans="1:4" x14ac:dyDescent="0.25">
      <c r="A79" s="6">
        <v>50</v>
      </c>
      <c r="B79" s="4">
        <v>12</v>
      </c>
      <c r="C79" s="4">
        <v>12</v>
      </c>
      <c r="D79" s="4">
        <v>24</v>
      </c>
    </row>
    <row r="80" spans="1:4" x14ac:dyDescent="0.25">
      <c r="A80" s="6">
        <v>51</v>
      </c>
      <c r="B80" s="4">
        <v>10</v>
      </c>
      <c r="C80" s="4">
        <v>12</v>
      </c>
      <c r="D80" s="4">
        <v>22</v>
      </c>
    </row>
    <row r="81" spans="1:4" x14ac:dyDescent="0.25">
      <c r="A81" s="6">
        <v>52</v>
      </c>
      <c r="B81" s="4">
        <v>10</v>
      </c>
      <c r="C81" s="4">
        <v>15</v>
      </c>
      <c r="D81" s="4">
        <v>25</v>
      </c>
    </row>
    <row r="82" spans="1:4" x14ac:dyDescent="0.25">
      <c r="A82" s="6">
        <v>53</v>
      </c>
      <c r="B82" s="4">
        <v>11</v>
      </c>
      <c r="C82" s="4">
        <v>13</v>
      </c>
      <c r="D82" s="4">
        <v>24</v>
      </c>
    </row>
    <row r="83" spans="1:4" x14ac:dyDescent="0.25">
      <c r="A83" s="6">
        <v>54</v>
      </c>
      <c r="B83" s="4">
        <v>5</v>
      </c>
      <c r="C83" s="4">
        <v>11</v>
      </c>
      <c r="D83" s="4">
        <v>16</v>
      </c>
    </row>
    <row r="84" spans="1:4" x14ac:dyDescent="0.25">
      <c r="A84" s="6">
        <v>55</v>
      </c>
      <c r="B84" s="4">
        <v>13</v>
      </c>
      <c r="C84" s="4">
        <v>5</v>
      </c>
      <c r="D84" s="4">
        <v>18</v>
      </c>
    </row>
    <row r="85" spans="1:4" x14ac:dyDescent="0.25">
      <c r="A85" s="6">
        <v>56</v>
      </c>
      <c r="B85" s="4">
        <v>13</v>
      </c>
      <c r="C85" s="4">
        <v>3</v>
      </c>
      <c r="D85" s="4">
        <v>16</v>
      </c>
    </row>
    <row r="86" spans="1:4" x14ac:dyDescent="0.25">
      <c r="A86" s="6">
        <v>57</v>
      </c>
      <c r="B86" s="4">
        <v>4</v>
      </c>
      <c r="C86" s="4">
        <v>4</v>
      </c>
      <c r="D86" s="4">
        <v>8</v>
      </c>
    </row>
    <row r="87" spans="1:4" x14ac:dyDescent="0.25">
      <c r="A87" s="6">
        <v>58</v>
      </c>
      <c r="B87" s="4">
        <v>8</v>
      </c>
      <c r="C87" s="4">
        <v>4</v>
      </c>
      <c r="D87" s="4">
        <v>12</v>
      </c>
    </row>
    <row r="88" spans="1:4" x14ac:dyDescent="0.25">
      <c r="A88" s="6">
        <v>59</v>
      </c>
      <c r="B88" s="4">
        <v>14</v>
      </c>
      <c r="C88" s="4">
        <v>6</v>
      </c>
      <c r="D88" s="4">
        <v>20</v>
      </c>
    </row>
    <row r="89" spans="1:4" x14ac:dyDescent="0.25">
      <c r="A89" s="6">
        <v>60</v>
      </c>
      <c r="B89" s="4">
        <v>8</v>
      </c>
      <c r="C89" s="4">
        <v>7</v>
      </c>
      <c r="D89" s="4">
        <v>15</v>
      </c>
    </row>
    <row r="90" spans="1:4" x14ac:dyDescent="0.25">
      <c r="A90" s="6">
        <v>61</v>
      </c>
      <c r="B90" s="4">
        <v>5</v>
      </c>
      <c r="C90" s="4">
        <v>4</v>
      </c>
      <c r="D90" s="4">
        <v>9</v>
      </c>
    </row>
    <row r="91" spans="1:4" x14ac:dyDescent="0.25">
      <c r="A91" s="6">
        <v>62</v>
      </c>
      <c r="B91" s="4">
        <v>9</v>
      </c>
      <c r="C91" s="4">
        <v>4</v>
      </c>
      <c r="D91" s="4">
        <v>13</v>
      </c>
    </row>
    <row r="92" spans="1:4" x14ac:dyDescent="0.25">
      <c r="A92" s="6">
        <v>63</v>
      </c>
      <c r="B92" s="4">
        <v>7</v>
      </c>
      <c r="C92" s="4">
        <v>2</v>
      </c>
      <c r="D92" s="4">
        <v>9</v>
      </c>
    </row>
    <row r="93" spans="1:4" x14ac:dyDescent="0.25">
      <c r="A93" s="6">
        <v>64</v>
      </c>
      <c r="B93" s="4">
        <v>7</v>
      </c>
      <c r="C93" s="4">
        <v>3</v>
      </c>
      <c r="D93" s="4">
        <v>10</v>
      </c>
    </row>
    <row r="94" spans="1:4" x14ac:dyDescent="0.25">
      <c r="A94" s="6">
        <v>65</v>
      </c>
      <c r="B94" s="4">
        <v>6</v>
      </c>
      <c r="C94" s="4">
        <v>3</v>
      </c>
      <c r="D94" s="4">
        <v>9</v>
      </c>
    </row>
    <row r="95" spans="1:4" x14ac:dyDescent="0.25">
      <c r="A95" s="6">
        <v>66</v>
      </c>
      <c r="B95" s="4">
        <v>8</v>
      </c>
      <c r="C95" s="4">
        <v>6</v>
      </c>
      <c r="D95" s="4">
        <v>14</v>
      </c>
    </row>
    <row r="96" spans="1:4" x14ac:dyDescent="0.25">
      <c r="A96" s="6">
        <v>67</v>
      </c>
      <c r="B96" s="4">
        <v>8</v>
      </c>
      <c r="C96" s="4">
        <v>2</v>
      </c>
      <c r="D96" s="4">
        <v>10</v>
      </c>
    </row>
    <row r="97" spans="1:4" x14ac:dyDescent="0.25">
      <c r="A97" s="6">
        <v>68</v>
      </c>
      <c r="B97" s="4">
        <v>3</v>
      </c>
      <c r="C97" s="4"/>
      <c r="D97" s="4">
        <v>3</v>
      </c>
    </row>
    <row r="98" spans="1:4" x14ac:dyDescent="0.25">
      <c r="A98" s="6">
        <v>69</v>
      </c>
      <c r="B98" s="4">
        <v>8</v>
      </c>
      <c r="C98" s="4"/>
      <c r="D98" s="4">
        <v>8</v>
      </c>
    </row>
    <row r="99" spans="1:4" x14ac:dyDescent="0.25">
      <c r="A99" s="6">
        <v>70</v>
      </c>
      <c r="B99" s="4">
        <v>3</v>
      </c>
      <c r="C99" s="4">
        <v>1</v>
      </c>
      <c r="D99" s="4">
        <v>4</v>
      </c>
    </row>
    <row r="100" spans="1:4" x14ac:dyDescent="0.25">
      <c r="A100" s="6">
        <v>71</v>
      </c>
      <c r="B100" s="4">
        <v>1</v>
      </c>
      <c r="C100" s="4"/>
      <c r="D100" s="4">
        <v>1</v>
      </c>
    </row>
    <row r="101" spans="1:4" x14ac:dyDescent="0.25">
      <c r="A101" s="6">
        <v>72</v>
      </c>
      <c r="B101" s="4"/>
      <c r="C101" s="4">
        <v>1</v>
      </c>
      <c r="D101" s="4">
        <v>1</v>
      </c>
    </row>
    <row r="102" spans="1:4" x14ac:dyDescent="0.25">
      <c r="A102" s="6">
        <v>73</v>
      </c>
      <c r="B102" s="4">
        <v>2</v>
      </c>
      <c r="C102" s="4">
        <v>2</v>
      </c>
      <c r="D102" s="4">
        <v>4</v>
      </c>
    </row>
    <row r="103" spans="1:4" x14ac:dyDescent="0.25">
      <c r="A103" s="6">
        <v>74</v>
      </c>
      <c r="B103" s="4"/>
      <c r="C103" s="4">
        <v>1</v>
      </c>
      <c r="D103" s="4">
        <v>1</v>
      </c>
    </row>
    <row r="104" spans="1:4" x14ac:dyDescent="0.25">
      <c r="A104" s="6">
        <v>78</v>
      </c>
      <c r="B104" s="4">
        <v>1</v>
      </c>
      <c r="C104" s="4">
        <v>1</v>
      </c>
      <c r="D104" s="4">
        <v>2</v>
      </c>
    </row>
    <row r="105" spans="1:4" x14ac:dyDescent="0.25">
      <c r="A105" s="6">
        <v>80</v>
      </c>
      <c r="B105" s="4">
        <v>1</v>
      </c>
      <c r="C105" s="4"/>
      <c r="D105" s="4">
        <v>1</v>
      </c>
    </row>
    <row r="106" spans="1:4" x14ac:dyDescent="0.25">
      <c r="A106" s="6">
        <v>89</v>
      </c>
      <c r="B106" s="4">
        <v>1</v>
      </c>
      <c r="C106" s="4"/>
      <c r="D106" s="4">
        <v>1</v>
      </c>
    </row>
    <row r="107" spans="1:4" x14ac:dyDescent="0.25">
      <c r="A107" s="6" t="s">
        <v>42</v>
      </c>
      <c r="B107" s="4">
        <v>519</v>
      </c>
      <c r="C107" s="4">
        <v>481</v>
      </c>
      <c r="D107"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Havanur</dc:creator>
  <cp:lastModifiedBy>Rashmi Havanur</cp:lastModifiedBy>
  <dcterms:created xsi:type="dcterms:W3CDTF">2022-03-18T02:50:57Z</dcterms:created>
  <dcterms:modified xsi:type="dcterms:W3CDTF">2026-10-02T17:13:34Z</dcterms:modified>
</cp:coreProperties>
</file>